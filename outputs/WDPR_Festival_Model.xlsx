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s" sheetId="2" state="visible" r:id="rId4"/>
    <sheet name="Inputs" sheetId="3" state="visible" r:id="rId5"/>
    <sheet name="Baseline" sheetId="4" state="visible" r:id="rId6"/>
    <sheet name="Capture" sheetId="5" state="visible" r:id="rId7"/>
    <sheet name="Reach" sheetId="6" state="visible" r:id="rId8"/>
    <sheet name="Anniversary" sheetId="7" state="visible" r:id="rId9"/>
    <sheet name="Concert" sheetId="8" state="visible" r:id="rId10"/>
    <sheet name="Macro" sheetId="9" state="visible" r:id="rId11"/>
    <sheet name="Bridge" sheetId="10" state="visible" r:id="rId12"/>
    <sheet name="Sensitivity" sheetId="11" state="visible" r:id="rId13"/>
    <sheet name="Weekends" sheetId="12" state="visible" r:id="rId14"/>
    <sheet name="Part2" sheetId="13" state="visible" r:id="rId15"/>
    <sheet name="ErlangC" sheetId="14" state="visible" r:id="rId16"/>
    <sheet name="Part3" sheetId="15" state="visible" r:id="rId17"/>
  </sheets>
  <definedNames>
    <definedName function="false" hidden="false" name="AdElast" vbProcedure="false">Inputs!$C$24</definedName>
    <definedName function="false" hidden="false" name="AdElast_hi" vbProcedure="false">Inputs!$D$24</definedName>
    <definedName function="false" hidden="false" name="AdElast_lo" vbProcedure="false">Inputs!$B$24</definedName>
    <definedName function="false" hidden="false" name="Affinity" vbProcedure="false">Inputs!$C$47</definedName>
    <definedName function="false" hidden="false" name="Affinity_hi" vbProcedure="false">Inputs!$D$47</definedName>
    <definedName function="false" hidden="false" name="Affinity_lo" vbProcedure="false">Inputs!$B$47</definedName>
    <definedName function="false" hidden="false" name="AnnivLift" vbProcedure="false">Inputs!$C$16</definedName>
    <definedName function="false" hidden="false" name="AnnivLift_hi" vbProcedure="false">Inputs!$D$16</definedName>
    <definedName function="false" hidden="false" name="AnnivLift_lo" vbProcedure="false">Inputs!$B$16</definedName>
    <definedName function="false" hidden="false" name="AppleRatio" vbProcedure="false">Inputs!$C$43</definedName>
    <definedName function="false" hidden="false" name="AppleRatio_hi" vbProcedure="false">Inputs!$D$43</definedName>
    <definedName function="false" hidden="false" name="AppleRatio_lo" vbProcedure="false">Inputs!$B$43</definedName>
    <definedName function="false" hidden="false" name="Att2025" vbProcedure="false">Inputs!$C$3</definedName>
    <definedName function="false" hidden="false" name="Att2025_hi" vbProcedure="false">Inputs!$D$3</definedName>
    <definedName function="false" hidden="false" name="Att2025_lo" vbProcedure="false">Inputs!$B$3</definedName>
    <definedName function="false" hidden="false" name="AudMult" vbProcedure="false">Inputs!$C$7</definedName>
    <definedName function="false" hidden="false" name="AudMult_hi" vbProcedure="false">Inputs!$D$7</definedName>
    <definedName function="false" hidden="false" name="AudMult_lo" vbProcedure="false">Inputs!$B$7</definedName>
    <definedName function="false" hidden="false" name="Aware" vbProcedure="false">Inputs!$C$27</definedName>
    <definedName function="false" hidden="false" name="AwareConv" vbProcedure="false">Inputs!$C$28</definedName>
    <definedName function="false" hidden="false" name="AwareConv_hi" vbProcedure="false">Inputs!$D$28</definedName>
    <definedName function="false" hidden="false" name="AwareConv_lo" vbProcedure="false">Inputs!$B$28</definedName>
    <definedName function="false" hidden="false" name="AwareGain" vbProcedure="false">Inputs!$C$38</definedName>
    <definedName function="false" hidden="false" name="AwareGain_hi" vbProcedure="false">Inputs!$D$38</definedName>
    <definedName function="false" hidden="false" name="AwareGain_lo" vbProcedure="false">Inputs!$B$38</definedName>
    <definedName function="false" hidden="false" name="AwareLiftX" vbProcedure="false">Inputs!$C$35</definedName>
    <definedName function="false" hidden="false" name="AwareLiftX_hi" vbProcedure="false">Inputs!$D$35</definedName>
    <definedName function="false" hidden="false" name="AwareLiftX_lo" vbProcedure="false">Inputs!$B$35</definedName>
    <definedName function="false" hidden="false" name="AwareLocal" vbProcedure="false">Inputs!$C$36</definedName>
    <definedName function="false" hidden="false" name="AwareLocal_hi" vbProcedure="false">Inputs!$D$36</definedName>
    <definedName function="false" hidden="false" name="AwareLocal_lo" vbProcedure="false">Inputs!$B$36</definedName>
    <definedName function="false" hidden="false" name="AwareOuter" vbProcedure="false">Inputs!$C$37</definedName>
    <definedName function="false" hidden="false" name="AwareOuter_hi" vbProcedure="false">Inputs!$D$37</definedName>
    <definedName function="false" hidden="false" name="AwareOuter_lo" vbProcedure="false">Inputs!$B$37</definedName>
    <definedName function="false" hidden="false" name="Aware_hi" vbProcedure="false">Inputs!$D$27</definedName>
    <definedName function="false" hidden="false" name="Aware_lo" vbProcedure="false">Inputs!$B$27</definedName>
    <definedName function="false" hidden="false" name="Base2026" vbProcedure="false">Inputs!$C$14</definedName>
    <definedName function="false" hidden="false" name="Base2026_hi" vbProcedure="false">Inputs!$D$14</definedName>
    <definedName function="false" hidden="false" name="Base2026_lo" vbProcedure="false">Inputs!$B$14</definedName>
    <definedName function="false" hidden="false" name="BassP" vbProcedure="false">Inputs!$C$25</definedName>
    <definedName function="false" hidden="false" name="BassP_hi" vbProcedure="false">Inputs!$D$25</definedName>
    <definedName function="false" hidden="false" name="BassP_lo" vbProcedure="false">Inputs!$B$25</definedName>
    <definedName function="false" hidden="false" name="BassQ" vbProcedure="false">Inputs!$C$26</definedName>
    <definedName function="false" hidden="false" name="BassQ_hi" vbProcedure="false">Inputs!$D$26</definedName>
    <definedName function="false" hidden="false" name="BassQ_lo" vbProcedure="false">Inputs!$B$26</definedName>
    <definedName function="false" hidden="false" name="BeyondShare" vbProcedure="false">Inputs!$C$30</definedName>
    <definedName function="false" hidden="false" name="BeyondShare_hi" vbProcedure="false">Inputs!$D$30</definedName>
    <definedName function="false" hidden="false" name="BeyondShare_lo" vbProcedure="false">Inputs!$B$30</definedName>
    <definedName function="false" hidden="false" name="Casual" vbProcedure="false">Inputs!$C$52</definedName>
    <definedName function="false" hidden="false" name="Casual_hi" vbProcedure="false">Inputs!$D$52</definedName>
    <definedName function="false" hidden="false" name="Casual_lo" vbProcedure="false">Inputs!$B$52</definedName>
    <definedName function="false" hidden="false" name="ConcertAdd" vbProcedure="false">Inputs!$C$19</definedName>
    <definedName function="false" hidden="false" name="ConcertAdd_hi" vbProcedure="false">Inputs!$D$19</definedName>
    <definedName function="false" hidden="false" name="ConcertAdd_lo" vbProcedure="false">Inputs!$B$19</definedName>
    <definedName function="false" hidden="false" name="ConcertCap" vbProcedure="false">Inputs!$C$8</definedName>
    <definedName function="false" hidden="false" name="ConcertCap_hi" vbProcedure="false">Inputs!$D$8</definedName>
    <definedName function="false" hidden="false" name="ConcertCap_lo" vbProcedure="false">Inputs!$B$8</definedName>
    <definedName function="false" hidden="false" name="ConcertShift" vbProcedure="false">Inputs!$C$20</definedName>
    <definedName function="false" hidden="false" name="ConcertShift_hi" vbProcedure="false">Inputs!$D$20</definedName>
    <definedName function="false" hidden="false" name="ConcertShift_lo" vbProcedure="false">Inputs!$B$20</definedName>
    <definedName function="false" hidden="false" name="ConvFree" vbProcedure="false">Inputs!$C$49</definedName>
    <definedName function="false" hidden="false" name="ConvFree_hi" vbProcedure="false">Inputs!$D$49</definedName>
    <definedName function="false" hidden="false" name="ConvFree_lo" vbProcedure="false">Inputs!$B$49</definedName>
    <definedName function="false" hidden="false" name="DistLocal" vbProcedure="false">Inputs!$C$32</definedName>
    <definedName function="false" hidden="false" name="DistLocal_hi" vbProcedure="false">Inputs!$D$32</definedName>
    <definedName function="false" hidden="false" name="DistLocal_lo" vbProcedure="false">Inputs!$B$32</definedName>
    <definedName function="false" hidden="false" name="DistOuter" vbProcedure="false">Inputs!$C$33</definedName>
    <definedName function="false" hidden="false" name="DistOuter_hi" vbProcedure="false">Inputs!$D$33</definedName>
    <definedName function="false" hidden="false" name="DistOuter_lo" vbProcedure="false">Inputs!$B$33</definedName>
    <definedName function="false" hidden="false" name="DistW" vbProcedure="false">Inputs!$C$34</definedName>
    <definedName function="false" hidden="false" name="DistW_hi" vbProcedure="false">Inputs!$D$34</definedName>
    <definedName function="false" hidden="false" name="DistW_lo" vbProcedure="false">Inputs!$B$34</definedName>
    <definedName function="false" hidden="false" name="Engage" vbProcedure="false">Inputs!$C$48</definedName>
    <definedName function="false" hidden="false" name="Engage_hi" vbProcedure="false">Inputs!$D$48</definedName>
    <definedName function="false" hidden="false" name="Engage_lo" vbProcedure="false">Inputs!$B$48</definedName>
    <definedName function="false" hidden="false" name="Escalator" vbProcedure="false">Inputs!$C$60</definedName>
    <definedName function="false" hidden="false" name="Escalator_hi" vbProcedure="false">Inputs!$D$60</definedName>
    <definedName function="false" hidden="false" name="Escalator_lo" vbProcedure="false">Inputs!$B$60</definedName>
    <definedName function="false" hidden="false" name="FanRegular" vbProcedure="false">Inputs!$C$51</definedName>
    <definedName function="false" hidden="false" name="FanRegular_hi" vbProcedure="false">Inputs!$D$51</definedName>
    <definedName function="false" hidden="false" name="FanRegular_lo" vbProcedure="false">Inputs!$B$51</definedName>
    <definedName function="false" hidden="false" name="GasNow" vbProcedure="false">Inputs!$C$54</definedName>
    <definedName function="false" hidden="false" name="GasNow_hi" vbProcedure="false">Inputs!$D$54</definedName>
    <definedName function="false" hidden="false" name="GasNow_lo" vbProcedure="false">Inputs!$B$54</definedName>
    <definedName function="false" hidden="false" name="GasPrior" vbProcedure="false">Inputs!$C$55</definedName>
    <definedName function="false" hidden="false" name="GasPrior_hi" vbProcedure="false">Inputs!$D$55</definedName>
    <definedName function="false" hidden="false" name="GasPrior_lo" vbProcedure="false">Inputs!$B$55</definedName>
    <definedName function="false" hidden="false" name="HuffExp" vbProcedure="false">Inputs!$C$31</definedName>
    <definedName function="false" hidden="false" name="HuffExp_hi" vbProcedure="false">Inputs!$D$31</definedName>
    <definedName function="false" hidden="false" name="HuffExp_lo" vbProcedure="false">Inputs!$B$31</definedName>
    <definedName function="false" hidden="false" name="MacroLift" vbProcedure="false">Inputs!$C$17</definedName>
    <definedName function="false" hidden="false" name="MacroLift_hi" vbProcedure="false">Inputs!$D$17</definedName>
    <definedName function="false" hidden="false" name="MacroLift_lo" vbProcedure="false">Inputs!$B$17</definedName>
    <definedName function="false" hidden="false" name="MktLift" vbProcedure="false">Inputs!$C$15</definedName>
    <definedName function="false" hidden="false" name="MktLift_hi" vbProcedure="false">Inputs!$D$15</definedName>
    <definedName function="false" hidden="false" name="MktLift_lo" vbProcedure="false">Inputs!$B$15</definedName>
    <definedName function="false" hidden="false" name="NoShow" vbProcedure="false">Inputs!$C$40</definedName>
    <definedName function="false" hidden="false" name="NoShow_hi" vbProcedure="false">Inputs!$D$40</definedName>
    <definedName function="false" hidden="false" name="NoShow_lo" vbProcedure="false">Inputs!$B$40</definedName>
    <definedName function="false" hidden="false" name="OuterShare" vbProcedure="false">Inputs!$C$29</definedName>
    <definedName function="false" hidden="false" name="OuterShare_hi" vbProcedure="false">Inputs!$D$29</definedName>
    <definedName function="false" hidden="false" name="OuterShare_lo" vbProcedure="false">Inputs!$B$29</definedName>
    <definedName function="false" hidden="false" name="Overlap" vbProcedure="false">Inputs!$C$44</definedName>
    <definedName function="false" hidden="false" name="Overlap_hi" vbProcedure="false">Inputs!$D$44</definedName>
    <definedName function="false" hidden="false" name="Overlap_lo" vbProcedure="false">Inputs!$B$44</definedName>
    <definedName function="false" hidden="false" name="PerCap" vbProcedure="false">Inputs!$C$59</definedName>
    <definedName function="false" hidden="false" name="PerCap_hi" vbProcedure="false">Inputs!$D$59</definedName>
    <definedName function="false" hidden="false" name="PerCap_lo" vbProcedure="false">Inputs!$B$59</definedName>
    <definedName function="false" hidden="false" name="PopLocal" vbProcedure="false">Inputs!$C$4</definedName>
    <definedName function="false" hidden="false" name="PopLocal_hi" vbProcedure="false">Inputs!$D$4</definedName>
    <definedName function="false" hidden="false" name="PopLocal_lo" vbProcedure="false">Inputs!$B$4</definedName>
    <definedName function="false" hidden="false" name="PopOuter" vbProcedure="false">Inputs!$C$5</definedName>
    <definedName function="false" hidden="false" name="PopOuter_hi" vbProcedure="false">Inputs!$D$5</definedName>
    <definedName function="false" hidden="false" name="PopOuter_lo" vbProcedure="false">Inputs!$B$5</definedName>
    <definedName function="false" hidden="false" name="ReachAdd" vbProcedure="false">Inputs!$C$18</definedName>
    <definedName function="false" hidden="false" name="ReachAdd_hi" vbProcedure="false">Inputs!$D$18</definedName>
    <definedName function="false" hidden="false" name="ReachAdd_lo" vbProcedure="false">Inputs!$B$18</definedName>
    <definedName function="false" hidden="false" name="RegShare" vbProcedure="false">Inputs!$C$39</definedName>
    <definedName function="false" hidden="false" name="RegShare_hi" vbProcedure="false">Inputs!$D$39</definedName>
    <definedName function="false" hidden="false" name="RegShare_lo" vbProcedure="false">Inputs!$B$39</definedName>
    <definedName function="false" hidden="false" name="SatShare" vbProcedure="false">Inputs!$C$22</definedName>
    <definedName function="false" hidden="false" name="SatShare_hi" vbProcedure="false">Inputs!$D$22</definedName>
    <definedName function="false" hidden="false" name="SatShare_lo" vbProcedure="false">Inputs!$B$22</definedName>
    <definedName function="false" hidden="false" name="SentDrag" vbProcedure="false">Inputs!$C$58</definedName>
    <definedName function="false" hidden="false" name="SentDrag_hi" vbProcedure="false">Inputs!$D$58</definedName>
    <definedName function="false" hidden="false" name="SentDrag_lo" vbProcedure="false">Inputs!$B$58</definedName>
    <definedName function="false" hidden="false" name="ShowUp" vbProcedure="false">Inputs!$C$50</definedName>
    <definedName function="false" hidden="false" name="ShowUp_hi" vbProcedure="false">Inputs!$D$50</definedName>
    <definedName function="false" hidden="false" name="ShowUp_lo" vbProcedure="false">Inputs!$B$50</definedName>
    <definedName function="false" hidden="false" name="SpendUp" vbProcedure="false">Inputs!$C$6</definedName>
    <definedName function="false" hidden="false" name="SpendUp_hi" vbProcedure="false">Inputs!$D$6</definedName>
    <definedName function="false" hidden="false" name="SpendUp_lo" vbProcedure="false">Inputs!$B$6</definedName>
    <definedName function="false" hidden="false" name="SpotifyML" vbProcedure="false">Inputs!$C$42</definedName>
    <definedName function="false" hidden="false" name="SpotifyML_hi" vbProcedure="false">Inputs!$D$42</definedName>
    <definedName function="false" hidden="false" name="SpotifyML_lo" vbProcedure="false">Inputs!$B$42</definedName>
    <definedName function="false" hidden="false" name="Stay" vbProcedure="false">Inputs!$C$57</definedName>
    <definedName function="false" hidden="false" name="Stay_hi" vbProcedure="false">Inputs!$D$57</definedName>
    <definedName function="false" hidden="false" name="Stay_lo" vbProcedure="false">Inputs!$B$57</definedName>
    <definedName function="false" hidden="false" name="TripElast" vbProcedure="false">Inputs!$C$56</definedName>
    <definedName function="false" hidden="false" name="TripElast_hi" vbProcedure="false">Inputs!$D$56</definedName>
    <definedName function="false" hidden="false" name="TripElast_lo" vbProcedure="false">Inputs!$B$56</definedName>
    <definedName function="false" hidden="false" name="USPop" vbProcedure="false">Inputs!$C$46</definedName>
    <definedName function="false" hidden="false" name="USPop_hi" vbProcedure="false">Inputs!$D$46</definedName>
    <definedName function="false" hidden="false" name="USPop_lo" vbProcedure="false">Inputs!$B$46</definedName>
    <definedName function="false" hidden="false" name="USShare" vbProcedure="false">Inputs!$C$45</definedName>
    <definedName function="false" hidden="false" name="USShare_hi" vbProcedure="false">Inputs!$D$45</definedName>
    <definedName function="false" hidden="false" name="USShare_lo" vbProcedure="false">Inputs!$B$45</definedName>
    <definedName function="false" hidden="false" name="Weather" vbProcedure="false">Inputs!$C$21</definedName>
    <definedName function="false" hidden="false" name="Weather_hi" vbProcedure="false">Inputs!$D$21</definedName>
    <definedName function="false" hidden="false" name="Weather_lo" vbProcedure="false">Inputs!$B$21</definedName>
    <definedName function="false" hidden="false" name="WkS1" vbProcedure="false">Inputs!$C$9</definedName>
    <definedName function="false" hidden="false" name="WkS1_hi" vbProcedure="false">Inputs!$D$9</definedName>
    <definedName function="false" hidden="false" name="WkS1_lo" vbProcedure="false">Inputs!$B$9</definedName>
    <definedName function="false" hidden="false" name="WkS2" vbProcedure="false">Inputs!$C$10</definedName>
    <definedName function="false" hidden="false" name="WkS2_hi" vbProcedure="false">Inputs!$D$10</definedName>
    <definedName function="false" hidden="false" name="WkS2_lo" vbProcedure="false">Inputs!$B$10</definedName>
    <definedName function="false" hidden="false" name="WkS3" vbProcedure="false">Inputs!$C$11</definedName>
    <definedName function="false" hidden="false" name="WkS3_hi" vbProcedure="false">Inputs!$D$11</definedName>
    <definedName function="false" hidden="false" name="WkS3_lo" vbProcedure="false">Inputs!$B$11</definedName>
    <definedName function="false" hidden="false" name="WkS4" vbProcedure="false">Inputs!$C$12</definedName>
    <definedName function="false" hidden="false" name="WkS4_hi" vbProcedure="false">Inputs!$D$12</definedName>
    <definedName function="false" hidden="false" name="WkS4_lo" vbProcedure="false">Inputs!$B$12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<sst xmlns="http://schemas.openxmlformats.org/spreadsheetml/2006/main" count="756" uniqueCount="632">
  <si>
    <t xml:space="preserve">WDPR Fall 2026 IE Case, Autumn Harvest Festival model</t>
  </si>
  <si>
    <t xml:space="preserve">How to read this workbook</t>
  </si>
  <si>
    <t xml:space="preserve">Blue text = hardcoded input with a source (edit these). Black = formula. Green = link to another sheet. Yellow fill = key assumption.</t>
  </si>
  <si>
    <t xml:space="preserve">Every derived number is a live formula that traces back to the Inputs sheet. Change an input and the bridge, weekends, booths and options all move.</t>
  </si>
  <si>
    <t xml:space="preserve">Monte Carlo percentiles (P10/P50/P90) are computed by src/festival/simulate.py in the GitHub repo and pasted as values on the Bridge sheet, labeled as such.</t>
  </si>
  <si>
    <t xml:space="preserve">Sheet guide</t>
  </si>
  <si>
    <t xml:space="preserve">Sources: every research anchor with value, range and URL.</t>
  </si>
  <si>
    <t xml:space="preserve">Inputs: the assumption register. Named cells drive every other sheet.</t>
  </si>
  <si>
    <t xml:space="preserve">Baseline: five trend methods on 2021 to 2025, holdout backtest, weighted combination, 80% prediction interval.</t>
  </si>
  <si>
    <t xml:space="preserve">Capture: attendance divided by ring population for the 500k local ring and the 700k neighboring ring; calibrated model; five-year diffusion path.</t>
  </si>
  <si>
    <t xml:space="preserve">Reach: four independent estimates of the new-market lift and their overlap.</t>
  </si>
  <si>
    <t xml:space="preserve">Anniversary: milestone comparables and the four bottom-up channels.</t>
  </si>
  <si>
    <t xml:space="preserve">Concert: listener funnel by act size.</t>
  </si>
  <si>
    <t xml:space="preserve">Macro: September 2026 readings and the three mechanisms they drive.</t>
  </si>
  <si>
    <t xml:space="preserve">Bridge: 2025 actual to 2026 expected, step by step; deterministic low/base/high; Monte Carlo reference.</t>
  </si>
  <si>
    <t xml:space="preserve">Sensitivity: tornado table.</t>
  </si>
  <si>
    <t xml:space="preserve">Weekends: weekend split, Saturday split, design day.</t>
  </si>
  <si>
    <t xml:space="preserve">Part2: design-day demand, Erlang C queue floors, capture curve, three candidate booth mixes.</t>
  </si>
  <si>
    <t xml:space="preserve">Part3: option economics and scorecard.</t>
  </si>
  <si>
    <t xml:space="preserve">Code: github.com/NathanielKung/disney-festival-ie-case (models, tests, and this workbook's builder).</t>
  </si>
  <si>
    <t xml:space="preserve">Key</t>
  </si>
  <si>
    <t xml:space="preserve">Parameter</t>
  </si>
  <si>
    <t xml:space="preserve">Low</t>
  </si>
  <si>
    <t xml:space="preserve">Base</t>
  </si>
  <si>
    <t xml:space="preserve">High</t>
  </si>
  <si>
    <t xml:space="preserve">Unit</t>
  </si>
  <si>
    <t xml:space="preserve">Source</t>
  </si>
  <si>
    <t xml:space="preserve">URL</t>
  </si>
  <si>
    <t xml:space="preserve">ad_elasticity_short</t>
  </si>
  <si>
    <t xml:space="preserve">Short-run advertising elasticity</t>
  </si>
  <si>
    <t xml:space="preserve">elasticity</t>
  </si>
  <si>
    <t xml:space="preserve">Sethuraman, Tellis and Briesch, Journal of Marketing Research 2011 (751 short-run and 402 long-run estimates from 56 studies); 0.09 from a later international meta-analysis</t>
  </si>
  <si>
    <t xml:space="preserve">https://journals.sagepub.com/doi/10.1509/jmkr.48.3.457</t>
  </si>
  <si>
    <t xml:space="preserve">bass_p</t>
  </si>
  <si>
    <t xml:space="preserve">Bass coefficient of innovation p</t>
  </si>
  <si>
    <t xml:space="preserve">rate</t>
  </si>
  <si>
    <t xml:space="preserve">Sultan, Farley and Lehmann, JMR 1990, meta-analysis of 213 parameter sets; 0.10 reflects heavy advertising in the generalized Bass model</t>
  </si>
  <si>
    <t xml:space="preserve">https://proceedings.systemdynamics.org/2015/papers/P1233.pdf</t>
  </si>
  <si>
    <t xml:space="preserve">bass_q</t>
  </si>
  <si>
    <t xml:space="preserve">Bass coefficient of imitation q</t>
  </si>
  <si>
    <t xml:space="preserve">Sultan, Farley and Lehmann, JMR 1990</t>
  </si>
  <si>
    <t xml:space="preserve">campaign_awareness</t>
  </si>
  <si>
    <t xml:space="preserve">Campaign awareness in the new ring</t>
  </si>
  <si>
    <t xml:space="preserve">share</t>
  </si>
  <si>
    <t xml:space="preserve">State tourism ROI studies at higher per-capita spend: Washington 36% (SMARI FY2024), New Mexico 44% (Longwoods 2015), North Dakota 47%</t>
  </si>
  <si>
    <t xml:space="preserve">https://industry.stateofwatourism.com/wp-content/uploads/SMARI-2024-for-web.pdf</t>
  </si>
  <si>
    <t xml:space="preserve">aware_conversion</t>
  </si>
  <si>
    <t xml:space="preserve">Incremental visit rate among aware residents</t>
  </si>
  <si>
    <t xml:space="preserve">Washington: 77,000 incremental trips from 2.4M aware households (3.2% per household, ~1.3% per resident); Wyoming: likelihood to visit 7% unaware to 14% aware (Longwoods 2019)</t>
  </si>
  <si>
    <t xml:space="preserve">https://www.wyoleg.gov/InterimCommittee/2019/02-20191209066-169-WTB2019AdvertisingEffectivenessROI.pdf</t>
  </si>
  <si>
    <t xml:space="preserve">outer_share_of_visits</t>
  </si>
  <si>
    <t xml:space="preserve">Share of 2025 visits from the neighboring ring</t>
  </si>
  <si>
    <t xml:space="preserve">Verified visitor-origin surveys: Bolton Food and Drink Festival 72% local postcode; Big Sur Food and Wine 70% Monterey County; promoter claims of 60-80% out-of-region are rarely verified (Stratford Analytics)</t>
  </si>
  <si>
    <t xml:space="preserve">https://www.bolton.gov.uk/downloads/file/6971/visitor-report-survey-findings---bolton-food-and-drink-festival-2024</t>
  </si>
  <si>
    <t xml:space="preserve">huff_exponent</t>
  </si>
  <si>
    <t xml:space="preserve">Huff distance-decay exponent</t>
  </si>
  <si>
    <t xml:space="preserve">exponent</t>
  </si>
  <si>
    <t xml:space="preserve">Esri Huff model documentation: usually ranges between 1.5 and 2</t>
  </si>
  <si>
    <t xml:space="preserve">https://desktop.arcgis.com/en/arcmap/latest/tools/business-analyst-toolbox/how-original-huff-model-works.htm</t>
  </si>
  <si>
    <t xml:space="preserve">anniversary_lift</t>
  </si>
  <si>
    <t xml:space="preserve">Milestone anniversary lift net of marketing and concert</t>
  </si>
  <si>
    <t xml:space="preserve">Disneyland 2014-2016 attendance 16.769M / 18.278M / 17.943M (TEA/AECOM); Disneyland 50th +8.5% vs top-50 parks +4.2% (Amusement Business/ERA 2005); Musikfest 40th 1.33M vs prior record 1.24M (Morning Call 2023); Indy 500 100th running sellout (2016)</t>
  </si>
  <si>
    <t xml:space="preserve">https://queue-times.com/parks/16/attendances</t>
  </si>
  <si>
    <t xml:space="preserve">saturday_share</t>
  </si>
  <si>
    <t xml:space="preserve">Saturday share of a weekend</t>
  </si>
  <si>
    <t xml:space="preserve">Minnesota State Fair first-weekend Saturday vs Sunday: 198,842 vs 171,054 (2022); 198,863 vs 184,176 (2023); 184,564 vs 134,644 (2024)</t>
  </si>
  <si>
    <t xml:space="preserve">https://www.mnstatefair.org/about/attendance</t>
  </si>
  <si>
    <t xml:space="preserve">weather_multiplier</t>
  </si>
  <si>
    <t xml:space="preserve">Season weather multiplier</t>
  </si>
  <si>
    <t xml:space="preserve">multiplier</t>
  </si>
  <si>
    <t xml:space="preserve">Minnesota State Fair 2024: one rain day at 81,231 against a normal day near 135,000 (about 40% loss); one washed-out day of eight is 5% of the season</t>
  </si>
  <si>
    <t xml:space="preserve">https://www.yahoo.com/news/articles/minnesota-state-fair-attendance-continues-001045059.html</t>
  </si>
  <si>
    <t xml:space="preserve">listener_conversion_paid</t>
  </si>
  <si>
    <t xml:space="preserve">Paid ticket conversion of metro monthly listeners</t>
  </si>
  <si>
    <t xml:space="preserve">insights.live: roughly 1% to 3% of an artist's monthly listeners in a metro convert to ticket buyers; Orphiq: 2% working estimate for tour routing</t>
  </si>
  <si>
    <t xml:space="preserve">https://insights.live/blog/event-demand-data-you-need-to-forecast-concerts/</t>
  </si>
  <si>
    <t xml:space="preserve">listener_conversion_free</t>
  </si>
  <si>
    <t xml:space="preserve">Conversion when the show is free with admission</t>
  </si>
  <si>
    <t xml:space="preserve">Team assumption: five times the paid working estimate because the marginal price of the show is zero</t>
  </si>
  <si>
    <t xml:space="preserve">https://orphiq.com/resources/spotify-analytics-tour-routing</t>
  </si>
  <si>
    <t xml:space="preserve">apple_to_spotify_ratio</t>
  </si>
  <si>
    <t xml:space="preserve">Apple Music listeners as a ratio of Spotify monthly listeners</t>
  </si>
  <si>
    <t xml:space="preserve">ratio</t>
  </si>
  <si>
    <t xml:space="preserve">Spotify ~37% and Apple Music ~31% of US subscribers (Digital Music News Aug 2025; DemandSage), but Spotify listener counts include free users (751M MAU vs 290M paid, Q4 2025)</t>
  </si>
  <si>
    <t xml:space="preserve">https://www.digitalmusicnews.com/2025/08/21/music-streaming-market-share-data-august-2025/</t>
  </si>
  <si>
    <t xml:space="preserve">free_event_no_show</t>
  </si>
  <si>
    <t xml:space="preserve">No-show rate at free events</t>
  </si>
  <si>
    <t xml:space="preserve">VenueSight via eventcloud: free events routinely lose 40 to 60% of registrants; Eventbrite: as high as 50%</t>
  </si>
  <si>
    <t xml:space="preserve">https://www.eventcloud.io/blog/how-to-cut-event-no-shows</t>
  </si>
  <si>
    <t xml:space="preserve">regular_share</t>
  </si>
  <si>
    <t xml:space="preserve">Share of fairgoers who attend every year</t>
  </si>
  <si>
    <t xml:space="preserve">New York State Fair 2015 exit survey: four out of five are regular patrons; 30% attend multiple times</t>
  </si>
  <si>
    <t xml:space="preserve">https://apps.agriculture.ny.gov/rfps/RFP0131/2015_State_Fair_Survey.pdf</t>
  </si>
  <si>
    <t xml:space="preserve">consumer_sentiment</t>
  </si>
  <si>
    <t xml:space="preserve">University of Michigan consumer sentiment (Sept 2026 vs Sept 2025)</t>
  </si>
  <si>
    <t xml:space="preserve">index</t>
  </si>
  <si>
    <t xml:space="preserve">UMich Surveys of Consumers, September 2026 final 48.1; September 2025 55.1; one-year inflation expectations 4.6%</t>
  </si>
  <si>
    <t xml:space="preserve">https://tradingeconomics.com/united-states/consumer-confidence</t>
  </si>
  <si>
    <t xml:space="preserve">gas_price</t>
  </si>
  <si>
    <t xml:space="preserve">National average regular gasoline (Sept 24-25 2026)</t>
  </si>
  <si>
    <t xml:space="preserve">USD per gallon</t>
  </si>
  <si>
    <t xml:space="preserve">AAA national average $4.49 on Sept 24-25 2026, highest ever for this time of year; about 25% above a year ago (Empower/AAA Sept 3 2026)</t>
  </si>
  <si>
    <t xml:space="preserve">https://newsroom.aaa.com/2026/09/national-average-climbs-nearly-5-cents-since-last-week/</t>
  </si>
  <si>
    <t xml:space="preserve">gasoline_demand_elasticity</t>
  </si>
  <si>
    <t xml:space="preserve">Short-run price elasticity of gasoline demand</t>
  </si>
  <si>
    <t xml:space="preserve">Hughes, Knittel and Sperling, Energy Journal 2008 (NBER w12530): -0.034 to -0.077 for 2001-2006, versus -0.21 to -0.34 in 1975-1980</t>
  </si>
  <si>
    <t xml:space="preserve">https://www.nber.org/papers/w12530</t>
  </si>
  <si>
    <t xml:space="preserve">trip_fuel_elasticity</t>
  </si>
  <si>
    <t xml:space="preserve">Elasticity of discretionary day trips to fuel cost</t>
  </si>
  <si>
    <t xml:space="preserve">Team assumption: discretionary leisure trips are more elastic than total gasoline demand; bracketed above the Hughes-Knittel-Sperling range</t>
  </si>
  <si>
    <t xml:space="preserve">staycation_lift</t>
  </si>
  <si>
    <t xml:space="preserve">Local attendance lift from staycation substitution in a weak economy</t>
  </si>
  <si>
    <t xml:space="preserve">2009 recession: fairs reported booming business as families passed up out-of-town trips; Salem Fair ticket and food sales +25% (NBC News Aug 2009); Minnesota State Fair set its then all-time record in 2009 (CBS Minnesota 2014)</t>
  </si>
  <si>
    <t xml:space="preserve">https://www.nbcnews.com/id/wbna32285243</t>
  </si>
  <si>
    <t xml:space="preserve">macro_percap</t>
  </si>
  <si>
    <t xml:space="preserve">Real per-guest spend change from trade-down</t>
  </si>
  <si>
    <t xml:space="preserve">Minnesota State Fair 2025: attendance up even as fairgoers say they visit less often and spend less due to rising prices (Star Tribune Sept 1 2025); retail sales still +6.0% y/y nominal in Aug 2026</t>
  </si>
  <si>
    <t xml:space="preserve">https://www.startribune.com/minnesota-state-fair-attendance-2025/601464992</t>
  </si>
  <si>
    <t xml:space="preserve">macro_attendance</t>
  </si>
  <si>
    <t xml:space="preserve">Net macro multiplier on attendance</t>
  </si>
  <si>
    <t xml:space="preserve">Derived in macro.py: staycation lift on the local ring, fuel-cost drag on the outer ring, small sentiment drag</t>
  </si>
  <si>
    <t xml:space="preserve">Input</t>
  </si>
  <si>
    <t xml:space="preserve">Source / note</t>
  </si>
  <si>
    <t xml:space="preserve">Case data</t>
  </si>
  <si>
    <t xml:space="preserve">Attendance 2025</t>
  </si>
  <si>
    <t xml:space="preserve">visits</t>
  </si>
  <si>
    <t xml:space="preserve">Case</t>
  </si>
  <si>
    <t xml:space="preserve">Local ring population</t>
  </si>
  <si>
    <t xml:space="preserve">people</t>
  </si>
  <si>
    <t xml:space="preserve">Case: local metro</t>
  </si>
  <si>
    <t xml:space="preserve">Neighboring ring population</t>
  </si>
  <si>
    <t xml:space="preserve">Case: 1.2M reach minus 500k</t>
  </si>
  <si>
    <t xml:space="preserve">Marketing spend increase</t>
  </si>
  <si>
    <t xml:space="preserve">Audience multiple (1.2M / 0.5M)</t>
  </si>
  <si>
    <t xml:space="preserve">x</t>
  </si>
  <si>
    <t xml:space="preserve">Concert capacity</t>
  </si>
  <si>
    <t xml:space="preserve">Weekend share 1</t>
  </si>
  <si>
    <t xml:space="preserve">Weekend share 2</t>
  </si>
  <si>
    <t xml:space="preserve">Weekend share 3</t>
  </si>
  <si>
    <t xml:space="preserve">Weekend share 4</t>
  </si>
  <si>
    <t xml:space="preserve">Part 1 drivers</t>
  </si>
  <si>
    <t xml:space="preserve">Organic baseline 2026</t>
  </si>
  <si>
    <t xml:space="preserve">Base links to the Baseline sheet combination; low/high bracket the five methods</t>
  </si>
  <si>
    <t xml:space="preserve">Local marketing spillover</t>
  </si>
  <si>
    <t xml:space="preserve">Reading A: local budget held. Range from elasticity 0.12 x intensity change</t>
  </si>
  <si>
    <t xml:space="preserve">Anniversary lift (net)</t>
  </si>
  <si>
    <t xml:space="preserve">Sources sheet: anniversary_lift</t>
  </si>
  <si>
    <t xml:space="preserve">Macro net attendance effect</t>
  </si>
  <si>
    <t xml:space="preserve">Base links to the Macro sheet</t>
  </si>
  <si>
    <t xml:space="preserve">Reach expansion lift</t>
  </si>
  <si>
    <t xml:space="preserve">Overlap of four methods on the Reach sheet</t>
  </si>
  <si>
    <t xml:space="preserve">Concert incremental guests</t>
  </si>
  <si>
    <t xml:space="preserve">Concert sheet, 10M-listener tier; range 5M to 25M</t>
  </si>
  <si>
    <t xml:space="preserve">Concert shifted regulars</t>
  </si>
  <si>
    <t xml:space="preserve">Concert sheet</t>
  </si>
  <si>
    <t xml:space="preserve">Weather multiplier</t>
  </si>
  <si>
    <t xml:space="preserve">Sources sheet: weather_multiplier</t>
  </si>
  <si>
    <t xml:space="preserve">Saturday share of weekend</t>
  </si>
  <si>
    <t xml:space="preserve">Sources sheet: saturday_share</t>
  </si>
  <si>
    <t xml:space="preserve">Research anchors</t>
  </si>
  <si>
    <t xml:space="preserve">Advertising elasticity (short run)</t>
  </si>
  <si>
    <t xml:space="preserve">Sethuraman, Tellis, Briesch 2011</t>
  </si>
  <si>
    <t xml:space="preserve">Bass p (innovation)</t>
  </si>
  <si>
    <t xml:space="preserve">Sultan, Farley, Lehmann 1990</t>
  </si>
  <si>
    <t xml:space="preserve">Bass q (imitation)</t>
  </si>
  <si>
    <t xml:space="preserve">Campaign awareness, new ring</t>
  </si>
  <si>
    <t xml:space="preserve">State tourism ROI studies (36 to 47% at higher spend)</t>
  </si>
  <si>
    <t xml:space="preserve">Conversion among aware</t>
  </si>
  <si>
    <t xml:space="preserve">Washington 77k trips / 2.4M aware households; Wyoming 7% to 14%</t>
  </si>
  <si>
    <t xml:space="preserve">Share of 2025 visits from neighboring ring</t>
  </si>
  <si>
    <t xml:space="preserve">Verified origin surveys (Bolton 72% local, Big Sur 70%)</t>
  </si>
  <si>
    <t xml:space="preserve">Share of visits from beyond both rings</t>
  </si>
  <si>
    <t xml:space="preserve">Team assumption</t>
  </si>
  <si>
    <t xml:space="preserve">Huff distance exponent</t>
  </si>
  <si>
    <t xml:space="preserve">Esri Huff model documentation</t>
  </si>
  <si>
    <t xml:space="preserve">Distance local (miles)</t>
  </si>
  <si>
    <t xml:space="preserve">miles</t>
  </si>
  <si>
    <t xml:space="preserve">Distance outer (miles)</t>
  </si>
  <si>
    <t xml:space="preserve">Distance weight, outer ring</t>
  </si>
  <si>
    <t xml:space="preserve">Huff factor at exponent 1.5 to 1.0</t>
  </si>
  <si>
    <t xml:space="preserve">Aware-vs-unaware conversion lift</t>
  </si>
  <si>
    <t xml:space="preserve">Wyoming: 14% vs 7%</t>
  </si>
  <si>
    <t xml:space="preserve">Local awareness today</t>
  </si>
  <si>
    <t xml:space="preserve">Team assumption after 25 years of local marketing</t>
  </si>
  <si>
    <t xml:space="preserve">Outer awareness today</t>
  </si>
  <si>
    <t xml:space="preserve">Team assumption: word of mouth only</t>
  </si>
  <si>
    <t xml:space="preserve">Awareness gain from the campaign</t>
  </si>
  <si>
    <t xml:space="preserve">Team assumption at one sixth of local per-capita spend</t>
  </si>
  <si>
    <t xml:space="preserve">Regular patrons share</t>
  </si>
  <si>
    <t xml:space="preserve">NY State Fair 2015 exit survey</t>
  </si>
  <si>
    <t xml:space="preserve">Free event no-show rate</t>
  </si>
  <si>
    <t xml:space="preserve">VenueSight / Eventbrite</t>
  </si>
  <si>
    <t xml:space="preserve">Concert inputs</t>
  </si>
  <si>
    <t xml:space="preserve">Spotify monthly listeners (act)</t>
  </si>
  <si>
    <t xml:space="preserve">listeners</t>
  </si>
  <si>
    <t xml:space="preserve">Placeholder for the booked act; 7.4M Spotify x 1.35 x 0.93 = 9.3M combined, near the 10M tier</t>
  </si>
  <si>
    <t xml:space="preserve">Apple / Spotify listener ratio</t>
  </si>
  <si>
    <t xml:space="preserve">Sources sheet: apple_to_spotify_ratio</t>
  </si>
  <si>
    <t xml:space="preserve">Cross-platform overlap</t>
  </si>
  <si>
    <t xml:space="preserve">US share of the act's audience</t>
  </si>
  <si>
    <t xml:space="preserve">Team assumption for a US act</t>
  </si>
  <si>
    <t xml:space="preserve">US population</t>
  </si>
  <si>
    <t xml:space="preserve">Census estimate</t>
  </si>
  <si>
    <t xml:space="preserve">Affinity multiplier</t>
  </si>
  <si>
    <t xml:space="preserve">1.0 national act, up to 4 regional</t>
  </si>
  <si>
    <t xml:space="preserve">Engagement multiplier</t>
  </si>
  <si>
    <t xml:space="preserve">Follower-to-listener ratio proxy; super listeners drive 50% of sales</t>
  </si>
  <si>
    <t xml:space="preserve">Free-show conversion of catchment listeners</t>
  </si>
  <si>
    <t xml:space="preserve">5x the 2% paid working estimate</t>
  </si>
  <si>
    <t xml:space="preserve">Show-up rate</t>
  </si>
  <si>
    <t xml:space="preserve">Regular share of concert fans</t>
  </si>
  <si>
    <t xml:space="preserve">Local penetration</t>
  </si>
  <si>
    <t xml:space="preserve">Casual on-grounds share wanting seats</t>
  </si>
  <si>
    <t xml:space="preserve">Macro inputs</t>
  </si>
  <si>
    <t xml:space="preserve">Gas price now ($/gal)</t>
  </si>
  <si>
    <t xml:space="preserve">USD</t>
  </si>
  <si>
    <t xml:space="preserve">AAA Sept 24-25 2026</t>
  </si>
  <si>
    <t xml:space="preserve">Gas price a year ago ($/gal)</t>
  </si>
  <si>
    <t xml:space="preserve">AAA/Empower: about 25% below today</t>
  </si>
  <si>
    <t xml:space="preserve">Trip fuel elasticity (outer ring)</t>
  </si>
  <si>
    <t xml:space="preserve">Above Hughes-Knittel-Sperling -0.03 to -0.08 for total gasoline</t>
  </si>
  <si>
    <t xml:space="preserve">Staycation lift (local ring)</t>
  </si>
  <si>
    <t xml:space="preserve">2009 recession fair evidence</t>
  </si>
  <si>
    <t xml:space="preserve">Sentiment drag on visits</t>
  </si>
  <si>
    <t xml:space="preserve">UMich sentiment 48.1 vs 55.1; spending still +6% nominal</t>
  </si>
  <si>
    <t xml:space="preserve">Real per-guest spend change</t>
  </si>
  <si>
    <t xml:space="preserve">Trade-down; MN State Fair 2025 survey comments</t>
  </si>
  <si>
    <t xml:space="preserve">Cost escalator for 2027 options</t>
  </si>
  <si>
    <t xml:space="preserve">UMich one-year inflation expectations 4.6%</t>
  </si>
  <si>
    <t xml:space="preserve">Historical attendance and trend methods</t>
  </si>
  <si>
    <t xml:space="preserve">Year</t>
  </si>
  <si>
    <t xml:space="preserve">x (year index)</t>
  </si>
  <si>
    <t xml:space="preserve">Attendance</t>
  </si>
  <si>
    <t xml:space="preserve">ln(Attendance)</t>
  </si>
  <si>
    <t xml:space="preserve">Holt level</t>
  </si>
  <si>
    <t xml:space="preserve">Holt trend</t>
  </si>
  <si>
    <t xml:space="preserve">Holt 1-step forecast</t>
  </si>
  <si>
    <t xml:space="preserve">Note</t>
  </si>
  <si>
    <t xml:space="preserve">2021</t>
  </si>
  <si>
    <t xml:space="preserve">Case data. Pandemic-suppressed regime.</t>
  </si>
  <si>
    <t xml:space="preserve">2022</t>
  </si>
  <si>
    <t xml:space="preserve">2023</t>
  </si>
  <si>
    <t xml:space="preserve">Case data. Recovery begins.</t>
  </si>
  <si>
    <t xml:space="preserve">2024</t>
  </si>
  <si>
    <t xml:space="preserve">Case data.</t>
  </si>
  <si>
    <t xml:space="preserve">2025</t>
  </si>
  <si>
    <t xml:space="preserve">Case data. Most recent actual.</t>
  </si>
  <si>
    <t xml:space="preserve">2026</t>
  </si>
  <si>
    <t xml:space="preserve">Holt 2026 = last level + last trend</t>
  </si>
  <si>
    <t xml:space="preserve">Holt parameters</t>
  </si>
  <si>
    <t xml:space="preserve">alpha (level smoothing)</t>
  </si>
  <si>
    <t xml:space="preserve">Grid-searched to minimize one-step squared error (baseline.py, holt_optimize). 0.9/0.9 means trust the newest data.</t>
  </si>
  <si>
    <t xml:space="preserve">beta (trend smoothing)</t>
  </si>
  <si>
    <t xml:space="preserve">Five methods for 2026</t>
  </si>
  <si>
    <t xml:space="preserve">Method</t>
  </si>
  <si>
    <t xml:space="preserve">Formula</t>
  </si>
  <si>
    <t xml:space="preserve">2026 forecast</t>
  </si>
  <si>
    <t xml:space="preserve">Weight</t>
  </si>
  <si>
    <t xml:space="preserve">Weighted</t>
  </si>
  <si>
    <t xml:space="preserve">Holdout miss on 2025</t>
  </si>
  <si>
    <t xml:space="preserve">Read</t>
  </si>
  <si>
    <t xml:space="preserve">A. OLS linear, all years</t>
  </si>
  <si>
    <t xml:space="preserve">FORECAST(B8,C3:C7,B3:B7)</t>
  </si>
  <si>
    <t xml:space="preserve">Constant headcount growth. SLOPE = guests per year.</t>
  </si>
  <si>
    <t xml:space="preserve">B. Log-linear, all years</t>
  </si>
  <si>
    <t xml:space="preserve">EXP(FORECAST(B8,D3:D7,B3:B7))</t>
  </si>
  <si>
    <t xml:space="preserve">Constant percentage growth (CAGR).</t>
  </si>
  <si>
    <t xml:space="preserve">C. OLS linear, 2023 to 2025</t>
  </si>
  <si>
    <t xml:space="preserve">FORECAST(B8,C5:C7,B5:B7)</t>
  </si>
  <si>
    <t xml:space="preserve">Post-pandemic regime only (holdout uses the three years before 2025).</t>
  </si>
  <si>
    <t xml:space="preserve">D. Log-linear, 2023 to 2025</t>
  </si>
  <si>
    <t xml:space="preserve">EXP(FORECAST(B8,D5:D7,B5:B7))</t>
  </si>
  <si>
    <t xml:space="preserve">n/a</t>
  </si>
  <si>
    <t xml:space="preserve">Recent CAGR.</t>
  </si>
  <si>
    <t xml:space="preserve">E. Holt smoothing</t>
  </si>
  <si>
    <t xml:space="preserve">G8</t>
  </si>
  <si>
    <t xml:space="preserve">Level plus trend, recent years weighted more.</t>
  </si>
  <si>
    <t xml:space="preserve">Slope A (guests per year)</t>
  </si>
  <si>
    <t xml:space="preserve">CAGR B</t>
  </si>
  <si>
    <t xml:space="preserve">Combined baseline 2026</t>
  </si>
  <si>
    <t xml:space="preserve">Weights sum</t>
  </si>
  <si>
    <t xml:space="preserve">80% prediction interval on the linear fit (five points is a short series)</t>
  </si>
  <si>
    <t xml:space="preserve">Residual std error</t>
  </si>
  <si>
    <t xml:space="preserve">SE of a new observation at x=6</t>
  </si>
  <si>
    <t xml:space="preserve">t (80%, 3 df)</t>
  </si>
  <si>
    <t xml:space="preserve">Interval low</t>
  </si>
  <si>
    <t xml:space="preserve">Interval high</t>
  </si>
  <si>
    <t xml:space="preserve">Holdout: hide 2025, forecast it from 2021 to 2024, compare. All misses are negative, so growth is accelerating and recent-regime methods get more weight.</t>
  </si>
  <si>
    <t xml:space="preserve">Chart data</t>
  </si>
  <si>
    <t xml:space="preserve">2026 base</t>
  </si>
  <si>
    <t xml:space="preserve">Capture rate = visits from a ring / population of the ring (2025)</t>
  </si>
  <si>
    <t xml:space="preserve">Ring</t>
  </si>
  <si>
    <t xml:space="preserve">Population</t>
  </si>
  <si>
    <t xml:space="preserve">Share of visits</t>
  </si>
  <si>
    <t xml:space="preserve">Visits</t>
  </si>
  <si>
    <t xml:space="preserve">Capture rate</t>
  </si>
  <si>
    <t xml:space="preserve">Local metro (historically advertised)</t>
  </si>
  <si>
    <t xml:space="preserve">Neighboring metros (new reach)</t>
  </si>
  <si>
    <t xml:space="preserve">Beyond both rings</t>
  </si>
  <si>
    <t xml:space="preserve">Outer / local capture ratio</t>
  </si>
  <si>
    <t xml:space="preserve">Compare with the Huff distance factor below: distance alone explains most of the gap</t>
  </si>
  <si>
    <t xml:space="preserve">Huff gravity check: propensity of an outer-ring resident relative to a local one = (d_outer/d_local)^(-exponent)</t>
  </si>
  <si>
    <t xml:space="preserve">Exponent</t>
  </si>
  <si>
    <t xml:space="preserve">Distance factor</t>
  </si>
  <si>
    <t xml:space="preserve">Calibrated model: aware residents convert at AwareLiftX times the unaware rate</t>
  </si>
  <si>
    <t xml:space="preserve">Unaware conversion, local</t>
  </si>
  <si>
    <t xml:space="preserve">Backed out of local capture</t>
  </si>
  <si>
    <t xml:space="preserve">Aware conversion, local</t>
  </si>
  <si>
    <t xml:space="preserve">Implied distance factor, outer ring</t>
  </si>
  <si>
    <t xml:space="preserve">Backed out of outer capture</t>
  </si>
  <si>
    <t xml:space="preserve">Outer awareness after campaign</t>
  </si>
  <si>
    <t xml:space="preserve">Outer capture after campaign</t>
  </si>
  <si>
    <t xml:space="preserve">Incremental outer visits (year one)</t>
  </si>
  <si>
    <t xml:space="preserve">One of the four reach estimates</t>
  </si>
  <si>
    <t xml:space="preserve">Outer ceiling capture at full awareness</t>
  </si>
  <si>
    <t xml:space="preserve">Outer ceiling visits</t>
  </si>
  <si>
    <t xml:space="preserve">About 7,500 above today</t>
  </si>
  <si>
    <t xml:space="preserve">Local ceiling visits at full awareness</t>
  </si>
  <si>
    <t xml:space="preserve">Five-year outer-ring path: awareness spreads by a Bass process (p = campaign at BassP_hi, q = word of mouth)</t>
  </si>
  <si>
    <t xml:space="preserve">Awareness</t>
  </si>
  <si>
    <t xml:space="preserve">Outer capture</t>
  </si>
  <si>
    <t xml:space="preserve">Outer visits</t>
  </si>
  <si>
    <t xml:space="preserve">vs 2025</t>
  </si>
  <si>
    <t xml:space="preserve">2027</t>
  </si>
  <si>
    <t xml:space="preserve">2028</t>
  </si>
  <si>
    <t xml:space="preserve">2029</t>
  </si>
  <si>
    <t xml:space="preserve">2030</t>
  </si>
  <si>
    <t xml:space="preserve">Marketing arithmetic</t>
  </si>
  <si>
    <t xml:space="preserve">Per-capita intensity change if spread evenly</t>
  </si>
  <si>
    <t xml:space="preserve">Money up 1.2x, audience up 2.4x</t>
  </si>
  <si>
    <t xml:space="preserve">Reading B local effect (elasticity x intensity)</t>
  </si>
  <si>
    <t xml:space="preserve">Spread evenly: local market loses frequency</t>
  </si>
  <si>
    <t xml:space="preserve">Reading B local visits</t>
  </si>
  <si>
    <t xml:space="preserve">Reading A local spillover (held budget)</t>
  </si>
  <si>
    <t xml:space="preserve">Carried in the bridge</t>
  </si>
  <si>
    <t xml:space="preserve">Reading A local visits</t>
  </si>
  <si>
    <t xml:space="preserve">Four estimates of the new-market lift (visits)</t>
  </si>
  <si>
    <t xml:space="preserve">How</t>
  </si>
  <si>
    <t xml:space="preserve">1. Elasticity on whole spend increase</t>
  </si>
  <si>
    <t xml:space="preserve">attendance x 20% x elasticity (0.12 short run, 0.24 long run)</t>
  </si>
  <si>
    <t xml:space="preserve">2. Awareness x conversion funnel</t>
  </si>
  <si>
    <t xml:space="preserve">700k x awareness x conversion</t>
  </si>
  <si>
    <t xml:space="preserve">3. Bass diffusion, year one</t>
  </si>
  <si>
    <t xml:space="preserve">p x market potential; potential = 700k x local rate x distance weight</t>
  </si>
  <si>
    <t xml:space="preserve">4. Calibrated capture model</t>
  </si>
  <si>
    <t xml:space="preserve">Capture sheet, awareness gain 10 to 25 points</t>
  </si>
  <si>
    <t xml:space="preserve">The overlap of the four ranges. Change ReachAdd on Inputs to override.</t>
  </si>
  <si>
    <t xml:space="preserve">Bass market potential (outer ring)</t>
  </si>
  <si>
    <t xml:space="preserve">Bass path (new adopters per year, p base)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</si>
  <si>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</si>
  <si>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</si>
  <si>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</si>
  <si>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</si>
  <si>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</si>
  <si>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Cumulative</t>
  </si>
  <si>
    <t xml:space="preserve">New adopters</t>
  </si>
  <si>
    <t xml:space="preserve">Top-down: milestone comparables (all-in lift above trend)</t>
  </si>
  <si>
    <t xml:space="preserve">Comparable</t>
  </si>
  <si>
    <t xml:space="preserve">Prior</t>
  </si>
  <si>
    <t xml:space="preserve">Milestone</t>
  </si>
  <si>
    <t xml:space="preserve">Lift above trend</t>
  </si>
  <si>
    <t xml:space="preserve">Disneyland 60th (2015), trend 3.5%</t>
  </si>
  <si>
    <t xml:space="preserve">TEA/AECOM Theme Index</t>
  </si>
  <si>
    <t xml:space="preserve">Disneyland 50th (2005) vs top-50 parks</t>
  </si>
  <si>
    <t xml:space="preserve">Amusement Business / ERA 2005</t>
  </si>
  <si>
    <t xml:space="preserve">Musikfest 40th (2023) vs prior record</t>
  </si>
  <si>
    <t xml:space="preserve">Morning Call, Aug 2023</t>
  </si>
  <si>
    <t xml:space="preserve">Disneyland 2016 giveback</t>
  </si>
  <si>
    <t xml:space="preserve">Year after the milestone</t>
  </si>
  <si>
    <t xml:space="preserve">Pieces counted elsewhere (concert + marketing)</t>
  </si>
  <si>
    <t xml:space="preserve">Net milestone lift carried</t>
  </si>
  <si>
    <t xml:space="preserve">Bottom-up: four channels</t>
  </si>
  <si>
    <t xml:space="preserve">Channel</t>
  </si>
  <si>
    <t xml:space="preserve">Driver</t>
  </si>
  <si>
    <t xml:space="preserve">% of 2025</t>
  </si>
  <si>
    <t xml:space="preserve">Logic</t>
  </si>
  <si>
    <t xml:space="preserve">Lapsed visitors return</t>
  </si>
  <si>
    <t xml:space="preserve">Non-regular visits x 10 years x 0.6 movers = pool; 3% reactivate</t>
  </si>
  <si>
    <t xml:space="preserve">Earned media</t>
  </si>
  <si>
    <t xml:space="preserve">Non-attending locals x 20% reached x 1% convert</t>
  </si>
  <si>
    <t xml:space="preserve">Special programming</t>
  </si>
  <si>
    <t xml:space="preserve">1% attractiveness bump</t>
  </si>
  <si>
    <t xml:space="preserve">Regulars add a visit</t>
  </si>
  <si>
    <t xml:space="preserve">30% multi-visit regulars, +2% visits, 5 extra visit-days</t>
  </si>
  <si>
    <t xml:space="preserve">Stacked</t>
  </si>
  <si>
    <t xml:space="preserve">Netted for overlap (45%)</t>
  </si>
  <si>
    <t xml:space="preserve">A lapsed visitor brought back by a news story is channels 1 and 2 at once</t>
  </si>
  <si>
    <t xml:space="preserve">Listener funnel for the booked act</t>
  </si>
  <si>
    <t xml:space="preserve">Combined monthly listeners</t>
  </si>
  <si>
    <t xml:space="preserve">Spotify public count + Apple estimate, less overlap</t>
  </si>
  <si>
    <t xml:space="preserve">Effective catchment population</t>
  </si>
  <si>
    <t xml:space="preserve">Outer ring weighted for distance</t>
  </si>
  <si>
    <t xml:space="preserve">Catchment listeners</t>
  </si>
  <si>
    <t xml:space="preserve">Listeners spread with population, scaled by affinity</t>
  </si>
  <si>
    <t xml:space="preserve">Concert-motivated demand</t>
  </si>
  <si>
    <t xml:space="preserve">Free-show conversion x engagement</t>
  </si>
  <si>
    <t xml:space="preserve">Regulars (shift weekends)</t>
  </si>
  <si>
    <t xml:space="preserve">Incremental guests</t>
  </si>
  <si>
    <t xml:space="preserve">New to the season</t>
  </si>
  <si>
    <t xml:space="preserve">Casual on-grounds seat demand</t>
  </si>
  <si>
    <t xml:space="preserve">Weekend 4 Saturday guests before the concert</t>
  </si>
  <si>
    <t xml:space="preserve">Seat demand</t>
  </si>
  <si>
    <t xml:space="preserve">Overflow above capacity</t>
  </si>
  <si>
    <t xml:space="preserve">Passes to issue if reservation-based</t>
  </si>
  <si>
    <t xml:space="preserve">Free events lose 40 to 60% of registrants</t>
  </si>
  <si>
    <t xml:space="preserve">Act-size tiers (combined listeners)</t>
  </si>
  <si>
    <t xml:space="preserve">Combined listeners</t>
  </si>
  <si>
    <t xml:space="preserve">Shifted regulars</t>
  </si>
  <si>
    <t xml:space="preserve">Listeners needed for 2,000 incremental</t>
  </si>
  <si>
    <t xml:space="preserve">Listeners at which WK4 Sat passes WK3 Sat</t>
  </si>
  <si>
    <t xml:space="preserve">Gap between the two Saturdays divided by guests per listener</t>
  </si>
  <si>
    <t xml:space="preserve">September 2026 readings</t>
  </si>
  <si>
    <t xml:space="preserve">Indicator</t>
  </si>
  <si>
    <t xml:space="preserve">Now</t>
  </si>
  <si>
    <t xml:space="preserve">Year ago</t>
  </si>
  <si>
    <t xml:space="preserve">UMich consumer sentiment</t>
  </si>
  <si>
    <t xml:space="preserve">University of Michigan Surveys of Consumers, Sept 2026 final vs Sept 2025</t>
  </si>
  <si>
    <t xml:space="preserve">One-year inflation expectations</t>
  </si>
  <si>
    <t xml:space="preserve">UMich Sept 2026 4.6%; NY Fed Aug 2026 3.6%</t>
  </si>
  <si>
    <t xml:space="preserve">Gasoline, national average $/gal</t>
  </si>
  <si>
    <t xml:space="preserve">AAA Sept 24-25 2026; about 25% above a year ago (Empower, AAA)</t>
  </si>
  <si>
    <t xml:space="preserve">Unemployment rate</t>
  </si>
  <si>
    <t xml:space="preserve">BLS via Sept 2026 coverage: 4.1%, payrolls +162k</t>
  </si>
  <si>
    <t xml:space="preserve">Retail and food-service sales, y/y nominal</t>
  </si>
  <si>
    <t xml:space="preserve">Census, August 2026</t>
  </si>
  <si>
    <t xml:space="preserve">Three mechanisms</t>
  </si>
  <si>
    <t xml:space="preserve">Gas price change y/y</t>
  </si>
  <si>
    <t xml:space="preserve">Input to the fuel-cost mechanism</t>
  </si>
  <si>
    <t xml:space="preserve">Extra fuel cost per outer-ring car trip (90 mi, 25 mpg)</t>
  </si>
  <si>
    <t xml:space="preserve">A few dollars; the effect is on the margin, not the average</t>
  </si>
  <si>
    <t xml:space="preserve">Outer-ring visit effect (trip elasticity x gas change)</t>
  </si>
  <si>
    <t xml:space="preserve">Hughes-Knittel-Sperling: total gasoline demand only -0.03 to -0.08; day trips more elastic</t>
  </si>
  <si>
    <t xml:space="preserve">Outer-ring visits effect</t>
  </si>
  <si>
    <t xml:space="preserve">Local staycation lift</t>
  </si>
  <si>
    <t xml:space="preserve">2009: fairs boomed as families skipped out-of-town trips</t>
  </si>
  <si>
    <t xml:space="preserve">Local visits effect</t>
  </si>
  <si>
    <t xml:space="preserve">Sentiment near record lows, yet nominal spending +6%</t>
  </si>
  <si>
    <t xml:space="preserve">Sentiment visits effect</t>
  </si>
  <si>
    <t xml:space="preserve">Net attendance effect (visits)</t>
  </si>
  <si>
    <t xml:space="preserve">Feeds Part 2 sales per booth and Part 3 revenue per guest</t>
  </si>
  <si>
    <t xml:space="preserve">Feeds Part 3 labor cost</t>
  </si>
  <si>
    <t xml:space="preserve">(local share x staycation + outer share x fuel effect + sentiment)</t>
  </si>
  <si>
    <t xml:space="preserve">Linked into Inputs!MacroLift and the bridge</t>
  </si>
  <si>
    <t xml:space="preserve">Driver bridge: percentages first, headcounts after, weather last</t>
  </si>
  <si>
    <t xml:space="preserve">Step</t>
  </si>
  <si>
    <t xml:space="preserve">Step size</t>
  </si>
  <si>
    <t xml:space="preserve">2025 actual</t>
  </si>
  <si>
    <t xml:space="preserve">+ organic trend</t>
  </si>
  <si>
    <t xml:space="preserve">Baseline sheet, combined</t>
  </si>
  <si>
    <t xml:space="preserve">+ local marketing spillover</t>
  </si>
  <si>
    <t xml:space="preserve">Reading A</t>
  </si>
  <si>
    <t xml:space="preserve">+ 25th anniversary</t>
  </si>
  <si>
    <t xml:space="preserve">Net of marketing and concert</t>
  </si>
  <si>
    <t xml:space="preserve">+ macro backdrop</t>
  </si>
  <si>
    <t xml:space="preserve">Macro sheet net multiplier</t>
  </si>
  <si>
    <t xml:space="preserve">+ reach expansion</t>
  </si>
  <si>
    <t xml:space="preserve">Reach sheet overlap</t>
  </si>
  <si>
    <t xml:space="preserve">+ concert</t>
  </si>
  <si>
    <t xml:space="preserve">Concert sheet, booked-act tier</t>
  </si>
  <si>
    <t xml:space="preserve">Fair-weather total</t>
  </si>
  <si>
    <t xml:space="preserve">x weather (base)</t>
  </si>
  <si>
    <t xml:space="preserve">Weather multiplier mode 1.00; downside skewed</t>
  </si>
  <si>
    <t xml:space="preserve">Deterministic scenarios (every driver at its low / base / high)</t>
  </si>
  <si>
    <t xml:space="preserve">Scenario</t>
  </si>
  <si>
    <t xml:space="preserve">Total</t>
  </si>
  <si>
    <t xml:space="preserve">Low (all drivers low)</t>
  </si>
  <si>
    <t xml:space="preserve">All-adverse: rarely happens together, which is why the Monte Carlo band below is narrower</t>
  </si>
  <si>
    <t xml:space="preserve">High (all drivers high)</t>
  </si>
  <si>
    <t xml:space="preserve">Monte Carlo (simulate.py, 100,000 draws, triangular and PERT distributions), pasted values</t>
  </si>
  <si>
    <t xml:space="preserve">Percentile</t>
  </si>
  <si>
    <t xml:space="preserve">P10 (low)</t>
  </si>
  <si>
    <t xml:space="preserve">P50 (expected)</t>
  </si>
  <si>
    <t xml:space="preserve">P90 (high)</t>
  </si>
  <si>
    <t xml:space="preserve">P(total &gt; 60,000)</t>
  </si>
  <si>
    <t xml:space="preserve">Tornado: each driver at its low and high with the others at base (fair-weather total as the anchor)</t>
  </si>
  <si>
    <t xml:space="preserve">Total at low</t>
  </si>
  <si>
    <t xml:space="preserve">Total at high</t>
  </si>
  <si>
    <t xml:space="preserve">Delta low</t>
  </si>
  <si>
    <t xml:space="preserve">Delta high</t>
  </si>
  <si>
    <t xml:space="preserve">Swing</t>
  </si>
  <si>
    <t xml:space="preserve">Baseline trend</t>
  </si>
  <si>
    <t xml:space="preserve">Local marketing</t>
  </si>
  <si>
    <t xml:space="preserve">Anniversary</t>
  </si>
  <si>
    <t xml:space="preserve">Macro</t>
  </si>
  <si>
    <t xml:space="preserve">Reach</t>
  </si>
  <si>
    <t xml:space="preserve">Concert</t>
  </si>
  <si>
    <t xml:space="preserve">Weather</t>
  </si>
  <si>
    <t xml:space="preserve">Full-range swing (low to high). simulate.py reports the 10th-to-90th percentile version; the ranking is the same: weather, then reach and anniversary.</t>
  </si>
  <si>
    <t xml:space="preserve">Weekend split anchored on the expected season total (Monte Carlo P50 on the Bridge sheet; switch B1 to Bridge!B10 for the fair-weather deterministic total)</t>
  </si>
  <si>
    <t xml:space="preserve">Season total used</t>
  </si>
  <si>
    <t xml:space="preserve">Weekend</t>
  </si>
  <si>
    <t xml:space="preserve">Share</t>
  </si>
  <si>
    <t xml:space="preserve">Weekend total</t>
  </si>
  <si>
    <t xml:space="preserve">Saturday</t>
  </si>
  <si>
    <t xml:space="preserve">Sunday</t>
  </si>
  <si>
    <t xml:space="preserve">Non-concert total</t>
  </si>
  <si>
    <t xml:space="preserve">Weekend 1</t>
  </si>
  <si>
    <t xml:space="preserve">Weekend 2</t>
  </si>
  <si>
    <t xml:space="preserve">Weekend 3</t>
  </si>
  <si>
    <t xml:space="preserve">Weekend 4</t>
  </si>
  <si>
    <t xml:space="preserve">Concert guests and 100 shifted regulars land on Weekend 4 Saturday</t>
  </si>
  <si>
    <t xml:space="preserve">Weekend 3 Saturday (design day)</t>
  </si>
  <si>
    <t xml:space="preserve">Weekend 4 Saturday before the concert</t>
  </si>
  <si>
    <t xml:space="preserve">Weekend 4 Saturday with the concert</t>
  </si>
  <si>
    <t xml:space="preserve">Peak day</t>
  </si>
  <si>
    <t xml:space="preserve">Monte Carlo reference (simulate.py, 100,000 draws), pasted values</t>
  </si>
  <si>
    <t xml:space="preserve">P10</t>
  </si>
  <si>
    <t xml:space="preserve">P50</t>
  </si>
  <si>
    <t xml:space="preserve">P90</t>
  </si>
  <si>
    <t xml:space="preserve">Weekend 3 Saturday</t>
  </si>
  <si>
    <t xml:space="preserve">Weekend 4 Saturday</t>
  </si>
  <si>
    <t xml:space="preserve">P(Weekend 4 Saturday is the peak day)</t>
  </si>
  <si>
    <t xml:space="preserve">Category parameters (case midpoints in blue; service, fees and floors are team assumptions)</t>
  </si>
  <si>
    <t xml:space="preserve">Category</t>
  </si>
  <si>
    <t xml:space="preserve">Spend $</t>
  </si>
  <si>
    <t xml:space="preserve">Participation</t>
  </si>
  <si>
    <t xml:space="preserve">Tx per guest</t>
  </si>
  <si>
    <t xml:space="preserve">Units</t>
  </si>
  <si>
    <t xml:space="preserve">Season fee $</t>
  </si>
  <si>
    <t xml:space="preserve">Revenue share</t>
  </si>
  <si>
    <t xml:space="preserve">Organizer cost $</t>
  </si>
  <si>
    <t xml:space="preserve">Vendor floor $</t>
  </si>
  <si>
    <t xml:space="preserve">Service pts</t>
  </si>
  <si>
    <t xml:space="preserve">Min per tx</t>
  </si>
  <si>
    <t xml:space="preserve">Guests/hr per booth</t>
  </si>
  <si>
    <t xml:space="preserve">Peak-hour factor</t>
  </si>
  <si>
    <t xml:space="preserve">Wait target (min)</t>
  </si>
  <si>
    <t xml:space="preserve">F&amp;B</t>
  </si>
  <si>
    <t xml:space="preserve">Merch</t>
  </si>
  <si>
    <t xml:space="preserve">A&amp;E</t>
  </si>
  <si>
    <t xml:space="preserve">attraction</t>
  </si>
  <si>
    <t xml:space="preserve">Season attendance (P50)</t>
  </si>
  <si>
    <t xml:space="preserve">Design day (Weekend 3 Saturday)</t>
  </si>
  <si>
    <t xml:space="preserve">Real per-guest spend multiplier</t>
  </si>
  <si>
    <t xml:space="preserve">Design-day demand and Erlang C queue floors</t>
  </si>
  <si>
    <t xml:space="preserve">Daily transactions</t>
  </si>
  <si>
    <t xml:space="preserve">Peak-hour arrivals (lambda)</t>
  </si>
  <si>
    <t xml:space="preserve">Service rate per booth (mu)</t>
  </si>
  <si>
    <t xml:space="preserve">Offered load a = lambda/mu</t>
  </si>
  <si>
    <t xml:space="preserve">Queue floor (booths)</t>
  </si>
  <si>
    <t xml:space="preserve">Wait at floor (min)</t>
  </si>
  <si>
    <t xml:space="preserve">Season sales potential $</t>
  </si>
  <si>
    <t xml:space="preserve">Candidate mixes (capture = 1 - EXP(-n / n0), n0 set so capture = 85% at the queue floor)</t>
  </si>
  <si>
    <t xml:space="preserve">Mix</t>
  </si>
  <si>
    <t xml:space="preserve">F&amp;B booths</t>
  </si>
  <si>
    <t xml:space="preserve">Merch booths</t>
  </si>
  <si>
    <t xml:space="preserve">A&amp;E booths</t>
  </si>
  <si>
    <t xml:space="preserve">Units used</t>
  </si>
  <si>
    <t xml:space="preserve">Organizer contribution $</t>
  </si>
  <si>
    <t xml:space="preserve">Check</t>
  </si>
  <si>
    <t xml:space="preserve">Profit max (grid search, booths.py)</t>
  </si>
  <si>
    <t xml:space="preserve">Balanced (recommended)</t>
  </si>
  <si>
    <t xml:space="preserve">Variety</t>
  </si>
  <si>
    <t xml:space="preserve">Mix detail</t>
  </si>
  <si>
    <t xml:space="preserve">Mix / category</t>
  </si>
  <si>
    <t xml:space="preserve">Booths</t>
  </si>
  <si>
    <t xml:space="preserve">Capture</t>
  </si>
  <si>
    <t xml:space="preserve">Season sales $</t>
  </si>
  <si>
    <t xml:space="preserve">Sales per booth $</t>
  </si>
  <si>
    <t xml:space="preserve">Contribution $</t>
  </si>
  <si>
    <t xml:space="preserve">Peak wait (min)</t>
  </si>
  <si>
    <t xml:space="preserve">Above vendor floor?</t>
  </si>
  <si>
    <t xml:space="preserve">Profit max / F&amp;B</t>
  </si>
  <si>
    <t xml:space="preserve">Profit max / Merch</t>
  </si>
  <si>
    <t xml:space="preserve">Profit max / A&amp;E</t>
  </si>
  <si>
    <t xml:space="preserve">Balanced / F&amp;B</t>
  </si>
  <si>
    <t xml:space="preserve">Balanced / Merch</t>
  </si>
  <si>
    <t xml:space="preserve">Balanced / A&amp;E</t>
  </si>
  <si>
    <t xml:space="preserve">Variety / F&amp;B</t>
  </si>
  <si>
    <t xml:space="preserve">Variety / Merch</t>
  </si>
  <si>
    <t xml:space="preserve">Variety / A&amp;E</t>
  </si>
  <si>
    <t xml:space="preserve">Erlang C (M/M/c): mean queue wait in minutes for c booths. Helper for Part2. Column pairs: floor flag, wait.</t>
  </si>
  <si>
    <t xml:space="preserve">c (booths)</t>
  </si>
  <si>
    <t xml:space="preserve">F&amp;B floor?</t>
  </si>
  <si>
    <t xml:space="preserve">F&amp;B wait</t>
  </si>
  <si>
    <t xml:space="preserve">F&amp;B P(wait)</t>
  </si>
  <si>
    <t xml:space="preserve">Merch floor?</t>
  </si>
  <si>
    <t xml:space="preserve">Merch wait</t>
  </si>
  <si>
    <t xml:space="preserve">Merch P(wait)</t>
  </si>
  <si>
    <t xml:space="preserve">A&amp;E floor?</t>
  </si>
  <si>
    <t xml:space="preserve">A&amp;E wait</t>
  </si>
  <si>
    <t xml:space="preserve">A&amp;E P(wait)</t>
  </si>
  <si>
    <t xml:space="preserve">k</t>
  </si>
  <si>
    <t xml:space="preserve">P(wait) = [a^c/c! * c/(c-a)] / [sum_{k&lt;c} a^k/k! + a^c/c! * c/(c-a)];  Wq = P(wait) / (c*mu - lambda). Floor = smallest c with Wq under the target.</t>
  </si>
  <si>
    <t xml:space="preserve">Organizer revenue per guest</t>
  </si>
  <si>
    <t xml:space="preserve">Admission $</t>
  </si>
  <si>
    <t xml:space="preserve">Parking $ per guest</t>
  </si>
  <si>
    <t xml:space="preserve">Revenue share on spend $</t>
  </si>
  <si>
    <t xml:space="preserve">Revenue per guest $</t>
  </si>
  <si>
    <t xml:space="preserve">Cost inputs (team assumptions; replace with the festival's actuals)</t>
  </si>
  <si>
    <t xml:space="preserve">Staff on site</t>
  </si>
  <si>
    <t xml:space="preserve">Wage $/hr</t>
  </si>
  <si>
    <t xml:space="preserve">Cost escalator (2027)</t>
  </si>
  <si>
    <t xml:space="preserve">Lighting and security per extended day $</t>
  </si>
  <si>
    <t xml:space="preserve">Operations per added day $</t>
  </si>
  <si>
    <t xml:space="preserve">Extra site week $</t>
  </si>
  <si>
    <t xml:space="preserve">Launch marketing, Fridays $</t>
  </si>
  <si>
    <t xml:space="preserve">Launch marketing, fifth weekend $</t>
  </si>
  <si>
    <t xml:space="preserve">Demand assumptions</t>
  </si>
  <si>
    <t xml:space="preserve">Season attendance</t>
  </si>
  <si>
    <t xml:space="preserve">Average Saturday</t>
  </si>
  <si>
    <t xml:space="preserve">Average weekend</t>
  </si>
  <si>
    <t xml:space="preserve">Average demand per operating hour</t>
  </si>
  <si>
    <t xml:space="preserve">A: share of arrivals in the two added hours</t>
  </si>
  <si>
    <t xml:space="preserve">A: redistribution (pulled from open hours)</t>
  </si>
  <si>
    <t xml:space="preserve">B: Friday as a share of Saturday</t>
  </si>
  <si>
    <t xml:space="preserve">B: redistribution from the weekend</t>
  </si>
  <si>
    <t xml:space="preserve">C: fifth weekend vs average weekend</t>
  </si>
  <si>
    <t xml:space="preserve">C: redistribution</t>
  </si>
  <si>
    <t xml:space="preserve">Option economics</t>
  </si>
  <si>
    <t xml:space="preserve">Option</t>
  </si>
  <si>
    <t xml:space="preserve">Hours added</t>
  </si>
  <si>
    <t xml:space="preserve">Gross demand</t>
  </si>
  <si>
    <t xml:space="preserve">Net new</t>
  </si>
  <si>
    <t xml:space="preserve">Net new %</t>
  </si>
  <si>
    <t xml:space="preserve">Revenue $</t>
  </si>
  <si>
    <t xml:space="preserve">Cost $</t>
  </si>
  <si>
    <t xml:space="preserve">Net $</t>
  </si>
  <si>
    <t xml:space="preserve">Capacity factor</t>
  </si>
  <si>
    <t xml:space="preserve">Peak relief (shifted visits)</t>
  </si>
  <si>
    <t xml:space="preserve">A. Extend to 12 hours</t>
  </si>
  <si>
    <t xml:space="preserve">B. Add Fridays</t>
  </si>
  <si>
    <t xml:space="preserve">C. Fifth weekend</t>
  </si>
  <si>
    <t xml:space="preserve">Weighted scorecard (1 to 5)</t>
  </si>
  <si>
    <t xml:space="preserve">Financial (35%)</t>
  </si>
  <si>
    <t xml:space="preserve">Guest experience (30%)</t>
  </si>
  <si>
    <t xml:space="preserve">Feasibility (20%)</t>
  </si>
  <si>
    <t xml:space="preserve">Risk (15%)</t>
  </si>
  <si>
    <t xml:space="preserve">Weighted score</t>
  </si>
  <si>
    <t xml:space="preserve">A. Extend hours</t>
  </si>
  <si>
    <t xml:space="preserve">2029 design day without new capacity</t>
  </si>
  <si>
    <t xml:space="preserve">Trend 1,500 a year plus the outer-ring ramp from the Capture sheet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</si>
</sst>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"/>
    <numFmt numFmtId="166" formatCode="0.0%"/>
    <numFmt numFmtId="167" formatCode="#,##0.000"/>
    <numFmt numFmtId="168" formatCode="#,##0.00"/>
    <numFmt numFmtId="169" formatCode="0"/>
    <numFmt numFmtId="170" formatCode="0.0000"/>
    <numFmt numFmtId="171" formatCode="0.00"/>
    <numFmt numFmtId="172" formatCode="0%"/>
    <numFmt numFmtId="173" formatCode="0.000"/>
    <numFmt numFmtId="174" formatCode="0.00%"/>
    <numFmt numFmtId="175" formatCode="0.0"/>
    <numFmt numFmtId="176" formatCode="\+#,##0;\-#,##0"/>
    <numFmt numFmtId="177" formatCode="\$0.00"/>
    <numFmt numFmtId="178" formatCode="\+0%;\-0%"/>
    <numFmt numFmtId="179" formatCode="\$#,##0"/>
    <numFmt numFmtId="180" formatCode="\$#,##0.00"/>
    <numFmt numFmtId="181" formatCode="\$#,##0;&quot;($&quot;#,##0\)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u val="single"/>
      <sz val="9"/>
      <color rgb="FF1F5FBF"/>
      <name val="Arial"/>
      <family val="0"/>
      <charset val="1"/>
    </font>
    <font>
      <b val="true"/>
      <sz val="12"/>
      <color rgb="FF0D2A5C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2A5C"/>
        <bgColor rgb="FF333333"/>
      </patternFill>
    </fill>
    <fill>
      <patternFill patternType="solid">
        <fgColor rgb="FFFFF2CC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F9F9F9"/>
      <rgbColor rgb="FF660066"/>
      <rgbColor rgb="FFFF8080"/>
      <rgbColor rgb="FF1F5FB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2B632"/>
      <rgbColor rgb="FFFF9900"/>
      <rgbColor rgb="FFFF6600"/>
      <rgbColor rgb="FF666666"/>
      <rgbColor rgb="FF969696"/>
      <rgbColor rgb="FF0D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2021 to 2025 and 2026 organic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Baseline!B36</c:f>
              <c:strCache>
                <c:ptCount val="1"/>
                <c:pt idx="0">
                  <c:v>Attendance</c:v>
                </c:pt>
              </c:strCache>
            </c:strRef>
          </c:tx>
          <c:spPr>
            <a:solidFill>
              <a:srgbClr val="1f5fbf"/>
            </a:solidFill>
            <a:ln w="47520">
              <a:solidFill>
                <a:srgbClr val="1f5fbf"/>
              </a:solidFill>
              <a:round/>
            </a:ln>
          </c:spPr>
          <c:marker>
            <c:symbol val="circle"/>
            <c:size val="5"/>
            <c:spPr>
              <a:solidFill>
                <a:srgbClr val="1f5fb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Baseline!$A$37:$A$42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 base</c:v>
                </c:pt>
              </c:strCache>
            </c:strRef>
          </c:cat>
          <c:val>
            <c:numRef>
              <c:f>Baseline!$B$37:$B$42</c:f>
              <c:numCache>
                <c:formatCode>#,##0</c:formatCode>
                <c:ptCount val="6"/>
                <c:pt idx="0">
                  <c:v>49000</c:v>
                </c:pt>
                <c:pt idx="1">
                  <c:v>48500</c:v>
                </c:pt>
                <c:pt idx="2">
                  <c:v>50000</c:v>
                </c:pt>
                <c:pt idx="3">
                  <c:v>53500</c:v>
                </c:pt>
                <c:pt idx="4">
                  <c:v>56000</c:v>
                </c:pt>
                <c:pt idx="5">
                  <c:v>58564.7495221328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5966729"/>
        <c:axId val="29752185"/>
      </c:lineChart>
      <c:catAx>
        <c:axId val="75966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52185"/>
        <c:crosses val="autoZero"/>
        <c:auto val="1"/>
        <c:lblAlgn val="ctr"/>
        <c:lblOffset val="100"/>
        <c:noMultiLvlLbl val="0"/>
      </c:catAx>
      <c:valAx>
        <c:axId val="29752185"/>
        <c:scaling>
          <c:orientation val="minMax"/>
          <c:min val="44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667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Capture rate by ring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Capture!$A$3:$A$4</c:f>
              <c:strCache>
                <c:ptCount val="2"/>
                <c:pt idx="0">
                  <c:v>Local metro (historically advertised)</c:v>
                </c:pt>
                <c:pt idx="1">
                  <c:v>Neighboring metros (new reach)</c:v>
                </c:pt>
              </c:strCache>
            </c:strRef>
          </c:cat>
          <c:val>
            <c:numRef>
              <c:f>Capture!$E$3:$E$4</c:f>
              <c:numCache>
                <c:formatCode>0.00%</c:formatCode>
                <c:ptCount val="2"/>
                <c:pt idx="0">
                  <c:v>0.0784</c:v>
                </c:pt>
                <c:pt idx="1">
                  <c:v>0.02</c:v>
                </c:pt>
              </c:numCache>
            </c:numRef>
          </c:val>
        </c:ser>
        <c:gapWidth val="150"/>
        <c:overlap val="0"/>
        <c:axId val="54784004"/>
        <c:axId val="78670540"/>
      </c:barChart>
      <c:catAx>
        <c:axId val="54784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70540"/>
        <c:crosses val="autoZero"/>
        <c:auto val="1"/>
        <c:lblAlgn val="ctr"/>
        <c:lblOffset val="100"/>
        <c:noMultiLvlLbl val="0"/>
      </c:catAx>
      <c:valAx>
        <c:axId val="786705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ring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840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Outer-ring visits, five-year path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Capture!$A$28:$A$32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Capture!$D$28:$D$32</c:f>
              <c:numCache>
                <c:formatCode>#,##0</c:formatCode>
                <c:ptCount val="5"/>
                <c:pt idx="0">
                  <c:v>15613.2307692308</c:v>
                </c:pt>
                <c:pt idx="1">
                  <c:v>17218.5179901538</c:v>
                </c:pt>
                <c:pt idx="2">
                  <c:v>18633.5919892902</c:v>
                </c:pt>
                <c:pt idx="3">
                  <c:v>19730.1790910163</c:v>
                </c:pt>
                <c:pt idx="4">
                  <c:v>20482.774423475</c:v>
                </c:pt>
              </c:numCache>
            </c:numRef>
          </c:val>
        </c:ser>
        <c:gapWidth val="150"/>
        <c:overlap val="0"/>
        <c:axId val="12658138"/>
        <c:axId val="79797624"/>
      </c:barChart>
      <c:catAx>
        <c:axId val="12658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97624"/>
        <c:crosses val="autoZero"/>
        <c:auto val="1"/>
        <c:lblAlgn val="ctr"/>
        <c:lblOffset val="100"/>
        <c:noMultiLvlLbl val="0"/>
      </c:catAx>
      <c:valAx>
        <c:axId val="79797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visits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58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New-market lift, four methods (high 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Reach!$A$10:$A$13</c:f>
              <c:strCache>
                <c:ptCount val="4"/>
                <c:pt idx="0">
                  <c:v>1. Elasticity on whole spend increase</c:v>
                </c:pt>
                <c:pt idx="1">
                  <c:v>2. Awareness x conversion funnel</c:v>
                </c:pt>
                <c:pt idx="2">
                  <c:v>3. Bass diffusion, year one</c:v>
                </c:pt>
                <c:pt idx="3">
                  <c:v>4. Calibrated capture model</c:v>
                </c:pt>
              </c:strCache>
            </c:strRef>
          </c:cat>
          <c:val>
            <c:numRef>
              <c:f>Reach!$C$10:$C$13</c:f>
              <c:numCache>
                <c:formatCode>#,##0</c:formatCode>
                <c:ptCount val="4"/>
                <c:pt idx="0">
                  <c:v>2688</c:v>
                </c:pt>
                <c:pt idx="1">
                  <c:v>2975</c:v>
                </c:pt>
                <c:pt idx="2">
                  <c:v>1960</c:v>
                </c:pt>
                <c:pt idx="3">
                  <c:v>2697.6923076923</c:v>
                </c:pt>
              </c:numCache>
            </c:numRef>
          </c:val>
        </c:ser>
        <c:gapWidth val="150"/>
        <c:overlap val="0"/>
        <c:axId val="83689306"/>
        <c:axId val="37892580"/>
      </c:barChart>
      <c:catAx>
        <c:axId val="83689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92580"/>
        <c:crosses val="autoZero"/>
        <c:auto val="1"/>
        <c:lblAlgn val="ctr"/>
        <c:lblOffset val="100"/>
        <c:noMultiLvlLbl val="0"/>
      </c:catAx>
      <c:valAx>
        <c:axId val="37892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visits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89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 lift above trend, comparables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Anniversary!$A$3:$A$5</c:f>
              <c:strCache>
                <c:ptCount val="3"/>
                <c:pt idx="0">
                  <c:v>Disneyland 60th (2015), trend 3.5%</c:v>
                </c:pt>
                <c:pt idx="1">
                  <c:v>Disneyland 50th (2005) vs top-50 parks</c:v>
                </c:pt>
                <c:pt idx="2">
                  <c:v>Musikfest 40th (2023) vs prior record</c:v>
                </c:pt>
              </c:strCache>
            </c:strRef>
          </c:cat>
          <c:val>
            <c:numRef>
              <c:f>Anniversary!$D$3:$D$5</c:f>
              <c:numCache>
                <c:formatCode>0.0%</c:formatCode>
                <c:ptCount val="3"/>
                <c:pt idx="0">
                  <c:v>0.0549874768918838</c:v>
                </c:pt>
                <c:pt idx="1">
                  <c:v>0.043</c:v>
                </c:pt>
                <c:pt idx="2">
                  <c:v>0.0725806451612903</c:v>
                </c:pt>
              </c:numCache>
            </c:numRef>
          </c:val>
        </c:ser>
        <c:gapWidth val="150"/>
        <c:overlap val="0"/>
        <c:axId val="17940165"/>
        <c:axId val="89553988"/>
      </c:barChart>
      <c:catAx>
        <c:axId val="17940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53988"/>
        <c:crosses val="autoZero"/>
        <c:auto val="1"/>
        <c:lblAlgn val="ctr"/>
        <c:lblOffset val="100"/>
        <c:noMultiLvlLbl val="0"/>
      </c:catAx>
      <c:valAx>
        <c:axId val="89553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401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Incremental concert guests by act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Concert!$A$15:$A$19</c:f>
              <c:strCache>
                <c:ptCount val="5"/>
                <c:pt idx="0">
                  <c:v>1,000,000</c:v>
                </c:pt>
                <c:pt idx="1">
                  <c:v>5,000,000</c:v>
                </c:pt>
                <c:pt idx="2">
                  <c:v>10,000,000</c:v>
                </c:pt>
                <c:pt idx="3">
                  <c:v>20,000,000</c:v>
                </c:pt>
                <c:pt idx="4">
                  <c:v>40,000,000</c:v>
                </c:pt>
              </c:strCache>
            </c:strRef>
          </c:cat>
          <c:val>
            <c:numRef>
              <c:f>Concert!$C$15:$C$19</c:f>
              <c:numCache>
                <c:formatCode>#,##0</c:formatCode>
                <c:ptCount val="5"/>
                <c:pt idx="0">
                  <c:v>75.0441176470588</c:v>
                </c:pt>
                <c:pt idx="1">
                  <c:v>375.220588235294</c:v>
                </c:pt>
                <c:pt idx="2">
                  <c:v>750.441176470588</c:v>
                </c:pt>
                <c:pt idx="3">
                  <c:v>1500.88235294118</c:v>
                </c:pt>
                <c:pt idx="4">
                  <c:v>3001.76470588235</c:v>
                </c:pt>
              </c:numCache>
            </c:numRef>
          </c:val>
        </c:ser>
        <c:gapWidth val="150"/>
        <c:overlap val="0"/>
        <c:axId val="24268302"/>
        <c:axId val="65418909"/>
      </c:barChart>
      <c:catAx>
        <c:axId val="2426830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18909"/>
        <c:crosses val="autoZero"/>
        <c:auto val="1"/>
        <c:lblAlgn val="ctr"/>
        <c:lblOffset val="100"/>
        <c:noMultiLvlLbl val="0"/>
      </c:catAx>
      <c:valAx>
        <c:axId val="65418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guests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683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Driver bridge, 2025 to 2026 (cumulative)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Bridge!$A$3:$A$11</c:f>
              <c:strCache>
                <c:ptCount val="9"/>
                <c:pt idx="0">
                  <c:v>2025 actual</c:v>
                </c:pt>
                <c:pt idx="1">
                  <c:v>+ organic trend</c:v>
                </c:pt>
                <c:pt idx="2">
                  <c:v>+ local marketing spillover</c:v>
                </c:pt>
                <c:pt idx="3">
                  <c:v>+ 25th anniversary</c:v>
                </c:pt>
                <c:pt idx="4">
                  <c:v>+ macro backdrop</c:v>
                </c:pt>
                <c:pt idx="5">
                  <c:v>+ reach expansion</c:v>
                </c:pt>
                <c:pt idx="6">
                  <c:v>+ concert</c:v>
                </c:pt>
                <c:pt idx="7">
                  <c:v>Fair-weather total</c:v>
                </c:pt>
                <c:pt idx="8">
                  <c:v>x weather (base)</c:v>
                </c:pt>
              </c:strCache>
            </c:strRef>
          </c:cat>
          <c:val>
            <c:numRef>
              <c:f>Bridge!$B$3:$B$11</c:f>
              <c:numCache>
                <c:formatCode>#,##0</c:formatCode>
                <c:ptCount val="9"/>
                <c:pt idx="0">
                  <c:v>56000</c:v>
                </c:pt>
                <c:pt idx="1">
                  <c:v>58564.7495221328</c:v>
                </c:pt>
                <c:pt idx="2">
                  <c:v>58857.5732697435</c:v>
                </c:pt>
                <c:pt idx="3">
                  <c:v>60917.5883341845</c:v>
                </c:pt>
                <c:pt idx="4">
                  <c:v>60408.2496095014</c:v>
                </c:pt>
                <c:pt idx="5">
                  <c:v>62408.2496095014</c:v>
                </c:pt>
                <c:pt idx="6">
                  <c:v>63208.2496095014</c:v>
                </c:pt>
                <c:pt idx="7">
                  <c:v>63208.2496095014</c:v>
                </c:pt>
                <c:pt idx="8">
                  <c:v>63208.2496095014</c:v>
                </c:pt>
              </c:numCache>
            </c:numRef>
          </c:val>
        </c:ser>
        <c:gapWidth val="150"/>
        <c:overlap val="0"/>
        <c:axId val="95533251"/>
        <c:axId val="69176913"/>
      </c:barChart>
      <c:catAx>
        <c:axId val="95533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76913"/>
        <c:crosses val="autoZero"/>
        <c:auto val="1"/>
        <c:lblAlgn val="ctr"/>
        <c:lblOffset val="100"/>
        <c:noMultiLvlLbl val="0"/>
      </c:catAx>
      <c:valAx>
        <c:axId val="69176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visits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332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Sensitivity: delta from fair-weather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Sensitivity!D2</c:f>
              <c:strCache>
                <c:ptCount val="1"/>
                <c:pt idx="0">
                  <c:v>Delta low</c:v>
                </c:pt>
              </c:strCache>
            </c:strRef>
          </c:tx>
          <c:spPr>
            <a:solidFill>
              <a:srgbClr val="f2b6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Sensitivity!$A$3:$A$9</c:f>
              <c:strCache>
                <c:ptCount val="7"/>
                <c:pt idx="0">
                  <c:v>Baseline trend</c:v>
                </c:pt>
                <c:pt idx="1">
                  <c:v>Local marketing</c:v>
                </c:pt>
                <c:pt idx="2">
                  <c:v>Anniversary</c:v>
                </c:pt>
                <c:pt idx="3">
                  <c:v>Macro</c:v>
                </c:pt>
                <c:pt idx="4">
                  <c:v>Reach</c:v>
                </c:pt>
                <c:pt idx="5">
                  <c:v>Concert</c:v>
                </c:pt>
                <c:pt idx="6">
                  <c:v>Weather</c:v>
                </c:pt>
              </c:strCache>
            </c:strRef>
          </c:cat>
          <c:val>
            <c:numRef>
              <c:f>Sensitivity!$D$3:$D$9</c:f>
              <c:numCache>
                <c:formatCode>\+#,##0;\-#,##0</c:formatCode>
                <c:ptCount val="7"/>
                <c:pt idx="0">
                  <c:v>-1820.30027450145</c:v>
                </c:pt>
                <c:pt idx="1">
                  <c:v>-1502.69277635575</c:v>
                </c:pt>
                <c:pt idx="2">
                  <c:v>-1459.13646399762</c:v>
                </c:pt>
                <c:pt idx="3">
                  <c:v>-709.013042000646</c:v>
                </c:pt>
                <c:pt idx="4">
                  <c:v>-1000</c:v>
                </c:pt>
                <c:pt idx="5">
                  <c:v>-400</c:v>
                </c:pt>
                <c:pt idx="6">
                  <c:v>-6320.82496095014</c:v>
                </c:pt>
              </c:numCache>
            </c:numRef>
          </c:val>
        </c:ser>
        <c:ser>
          <c:idx val="1"/>
          <c:order val="1"/>
          <c:tx>
            <c:strRef>
              <c:f>Sensitivity!E2</c:f>
              <c:strCache>
                <c:ptCount val="1"/>
                <c:pt idx="0">
                  <c:v>Delta high</c:v>
                </c:pt>
              </c:strCache>
            </c:strRef>
          </c:tx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Sensitivity!$A$3:$A$9</c:f>
              <c:strCache>
                <c:ptCount val="7"/>
                <c:pt idx="0">
                  <c:v>Baseline trend</c:v>
                </c:pt>
                <c:pt idx="1">
                  <c:v>Local marketing</c:v>
                </c:pt>
                <c:pt idx="2">
                  <c:v>Anniversary</c:v>
                </c:pt>
                <c:pt idx="3">
                  <c:v>Macro</c:v>
                </c:pt>
                <c:pt idx="4">
                  <c:v>Reach</c:v>
                </c:pt>
                <c:pt idx="5">
                  <c:v>Concert</c:v>
                </c:pt>
                <c:pt idx="6">
                  <c:v>Weather</c:v>
                </c:pt>
              </c:strCache>
            </c:strRef>
          </c:cat>
          <c:val>
            <c:numRef>
              <c:f>Sensitivity!$E$3:$E$9</c:f>
              <c:numCache>
                <c:formatCode>\+#,##0;\-#,##0</c:formatCode>
                <c:ptCount val="7"/>
                <c:pt idx="0">
                  <c:v>1274.13366924855</c:v>
                </c:pt>
                <c:pt idx="1">
                  <c:v>1142.04651003038</c:v>
                </c:pt>
                <c:pt idx="2">
                  <c:v>2042.79104959668</c:v>
                </c:pt>
                <c:pt idx="3">
                  <c:v>1423.10254969581</c:v>
                </c:pt>
                <c:pt idx="4">
                  <c:v>2500</c:v>
                </c:pt>
                <c:pt idx="5">
                  <c:v>1200</c:v>
                </c:pt>
                <c:pt idx="6">
                  <c:v>1264.16499219003</c:v>
                </c:pt>
              </c:numCache>
            </c:numRef>
          </c:val>
        </c:ser>
        <c:gapWidth val="150"/>
        <c:overlap val="0"/>
        <c:axId val="30436117"/>
        <c:axId val="41676899"/>
      </c:barChart>
      <c:catAx>
        <c:axId val="304361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76899"/>
        <c:crosses val="autoZero"/>
        <c:auto val="1"/>
        <c:lblAlgn val="ctr"/>
        <c:lblOffset val="100"/>
        <c:noMultiLvlLbl val="0"/>
      </c:catAx>
      <c:valAx>
        <c:axId val="41676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#,##0;\-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361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Weekend totals, Saturday and Sunday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Weekends!D2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Weekends!$A$3:$A$6</c:f>
              <c:strCache>
                <c:ptCount val="4"/>
                <c:pt idx="0">
                  <c:v>Weekend 1</c:v>
                </c:pt>
                <c:pt idx="1">
                  <c:v>Weekend 2</c:v>
                </c:pt>
                <c:pt idx="2">
                  <c:v>Weekend 3</c:v>
                </c:pt>
                <c:pt idx="3">
                  <c:v>Weekend 4</c:v>
                </c:pt>
              </c:strCache>
            </c:strRef>
          </c:cat>
          <c:val>
            <c:numRef>
              <c:f>Weekends!$D$3:$D$6</c:f>
              <c:numCache>
                <c:formatCode>#,##0</c:formatCode>
                <c:ptCount val="4"/>
                <c:pt idx="0">
                  <c:v>6732</c:v>
                </c:pt>
                <c:pt idx="1">
                  <c:v>8412.25</c:v>
                </c:pt>
                <c:pt idx="2">
                  <c:v>10087</c:v>
                </c:pt>
                <c:pt idx="3">
                  <c:v>9328.75</c:v>
                </c:pt>
              </c:numCache>
            </c:numRef>
          </c:val>
        </c:ser>
        <c:ser>
          <c:idx val="1"/>
          <c:order val="1"/>
          <c:tx>
            <c:strRef>
              <c:f>Weekends!E2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rgbClr val="f2b6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Weekends!$A$3:$A$6</c:f>
              <c:strCache>
                <c:ptCount val="4"/>
                <c:pt idx="0">
                  <c:v>Weekend 1</c:v>
                </c:pt>
                <c:pt idx="1">
                  <c:v>Weekend 2</c:v>
                </c:pt>
                <c:pt idx="2">
                  <c:v>Weekend 3</c:v>
                </c:pt>
                <c:pt idx="3">
                  <c:v>Weekend 4</c:v>
                </c:pt>
              </c:strCache>
            </c:strRef>
          </c:cat>
          <c:val>
            <c:numRef>
              <c:f>Weekends!$E$3:$E$6</c:f>
              <c:numCache>
                <c:formatCode>#,##0</c:formatCode>
                <c:ptCount val="4"/>
                <c:pt idx="0">
                  <c:v>5508</c:v>
                </c:pt>
                <c:pt idx="1">
                  <c:v>6882.75</c:v>
                </c:pt>
                <c:pt idx="2">
                  <c:v>8253</c:v>
                </c:pt>
                <c:pt idx="3">
                  <c:v>6896.25</c:v>
                </c:pt>
              </c:numCache>
            </c:numRef>
          </c:val>
        </c:ser>
        <c:gapWidth val="150"/>
        <c:overlap val="0"/>
        <c:axId val="27686159"/>
        <c:axId val="3146469"/>
      </c:barChart>
      <c:catAx>
        <c:axId val="2768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6469"/>
        <c:crosses val="autoZero"/>
        <c:auto val="1"/>
        <c:lblAlgn val="ctr"/>
        <c:lblOffset val="100"/>
        <c:noMultiLvlLbl val="0"/>
      </c:catAx>
      <c:valAx>
        <c:axId val="3146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86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Recommended booth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Part2!$B$21:$D$21</c:f>
              <c:strCache>
                <c:ptCount val="3"/>
                <c:pt idx="0">
                  <c:v>F&amp;B booths</c:v>
                </c:pt>
                <c:pt idx="1">
                  <c:v>Merch booths</c:v>
                </c:pt>
                <c:pt idx="2">
                  <c:v>A&amp;E booths</c:v>
                </c:pt>
              </c:strCache>
            </c:strRef>
          </c:cat>
          <c:val>
            <c:numRef>
              <c:f>Part2!$B$23</c:f>
              <c:numCache>
                <c:formatCode>0</c:formatCode>
                <c:ptCount val="1"/>
                <c:pt idx="0">
                  <c:v>60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Part2!$B$21:$D$21</c:f>
              <c:strCache>
                <c:ptCount val="3"/>
                <c:pt idx="0">
                  <c:v>F&amp;B booths</c:v>
                </c:pt>
                <c:pt idx="1">
                  <c:v>Merch booths</c:v>
                </c:pt>
                <c:pt idx="2">
                  <c:v>A&amp;E booths</c:v>
                </c:pt>
              </c:strCache>
            </c:strRef>
          </c:cat>
          <c:val>
            <c:numRef>
              <c:f>Part2!$C$23</c:f>
              <c:numCache>
                <c:formatCode>0</c:formatCode>
                <c:ptCount val="1"/>
                <c:pt idx="0">
                  <c:v>28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Part2!$B$21:$D$21</c:f>
              <c:strCache>
                <c:ptCount val="3"/>
                <c:pt idx="0">
                  <c:v>F&amp;B booths</c:v>
                </c:pt>
                <c:pt idx="1">
                  <c:v>Merch booths</c:v>
                </c:pt>
                <c:pt idx="2">
                  <c:v>A&amp;E booths</c:v>
                </c:pt>
              </c:strCache>
            </c:strRef>
          </c:cat>
          <c:val>
            <c:numRef>
              <c:f>Part2!$D$23</c:f>
              <c:numCache>
                <c:formatCode>0</c:formatCode>
                <c:ptCount val="1"/>
                <c:pt idx="0">
                  <c:v>16</c:v>
                </c:pt>
              </c:numCache>
            </c:numRef>
          </c:val>
        </c:ser>
        <c:gapWidth val="150"/>
        <c:overlap val="0"/>
        <c:axId val="27877835"/>
        <c:axId val="54996518"/>
      </c:barChart>
      <c:catAx>
        <c:axId val="27877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96518"/>
        <c:crosses val="autoZero"/>
        <c:auto val="1"/>
        <c:lblAlgn val="ctr"/>
        <c:lblOffset val="100"/>
        <c:noMultiLvlLbl val="0"/>
      </c:catAx>
      <c:valAx>
        <c:axId val="54996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778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contribution by option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Part3!$A$31:$A$33</c:f>
              <c:strCache>
                <c:ptCount val="3"/>
                <c:pt idx="0">
                  <c:v>A. Extend to 12 hours</c:v>
                </c:pt>
                <c:pt idx="1">
                  <c:v>B. Add Fridays</c:v>
                </c:pt>
                <c:pt idx="2">
                  <c:v>C. Fifth weekend</c:v>
                </c:pt>
              </c:strCache>
            </c:strRef>
          </c:cat>
          <c:val>
            <c:numRef>
              <c:f>Part3!$H$31:$H$33</c:f>
              <c:numCache>
                <c:formatCode>\$#,##0;"($"#,##0\)</c:formatCode>
                <c:ptCount val="3"/>
                <c:pt idx="0">
                  <c:v>-8050.48584960001</c:v>
                </c:pt>
                <c:pt idx="1">
                  <c:v>81802.9746052</c:v>
                </c:pt>
                <c:pt idx="2">
                  <c:v>36401.572488</c:v>
                </c:pt>
              </c:numCache>
            </c:numRef>
          </c:val>
        </c:ser>
        <c:gapWidth val="150"/>
        <c:overlap val="0"/>
        <c:axId val="23147171"/>
        <c:axId val="7281075"/>
      </c:barChart>
      <c:catAx>
        <c:axId val="23147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1075"/>
        <c:crosses val="autoZero"/>
        <c:auto val="1"/>
        <c:lblAlgn val="ctr"/>
        <c:lblOffset val="100"/>
        <c:noMultiLvlLbl val="0"/>
      </c:catAx>
      <c:valAx>
        <c:axId val="7281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47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18</xdr:col>
      <xdr:colOff>255960</xdr:colOff>
      <xdr:row>14</xdr:row>
      <xdr:rowOff>290520</xdr:rowOff>
    </xdr:to>
    <xdr:graphicFrame>
      <xdr:nvGraphicFramePr>
        <xdr:cNvPr id="0" name="Chart 1"/>
        <xdr:cNvGraphicFramePr/>
      </xdr:nvGraphicFramePr>
      <xdr:xfrm>
        <a:off x="1287576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16</xdr:col>
      <xdr:colOff>255960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1217088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16</xdr:col>
      <xdr:colOff>255960</xdr:colOff>
      <xdr:row>34</xdr:row>
      <xdr:rowOff>21960</xdr:rowOff>
    </xdr:to>
    <xdr:graphicFrame>
      <xdr:nvGraphicFramePr>
        <xdr:cNvPr id="2" name="Chart 2"/>
        <xdr:cNvGraphicFramePr/>
      </xdr:nvGraphicFramePr>
      <xdr:xfrm>
        <a:off x="1217088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16</xdr:col>
      <xdr:colOff>256320</xdr:colOff>
      <xdr:row>16</xdr:row>
      <xdr:rowOff>21960</xdr:rowOff>
    </xdr:to>
    <xdr:graphicFrame>
      <xdr:nvGraphicFramePr>
        <xdr:cNvPr id="3" name="Chart 1"/>
        <xdr:cNvGraphicFramePr/>
      </xdr:nvGraphicFramePr>
      <xdr:xfrm>
        <a:off x="1245312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16</xdr:row>
      <xdr:rowOff>21960</xdr:rowOff>
    </xdr:to>
    <xdr:graphicFrame>
      <xdr:nvGraphicFramePr>
        <xdr:cNvPr id="4" name="Chart 1"/>
        <xdr:cNvGraphicFramePr/>
      </xdr:nvGraphicFramePr>
      <xdr:xfrm>
        <a:off x="1132524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14</xdr:col>
      <xdr:colOff>255960</xdr:colOff>
      <xdr:row>15</xdr:row>
      <xdr:rowOff>100080</xdr:rowOff>
    </xdr:to>
    <xdr:graphicFrame>
      <xdr:nvGraphicFramePr>
        <xdr:cNvPr id="5" name="Chart 1"/>
        <xdr:cNvGraphicFramePr/>
      </xdr:nvGraphicFramePr>
      <xdr:xfrm>
        <a:off x="1019736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16</xdr:row>
      <xdr:rowOff>21960</xdr:rowOff>
    </xdr:to>
    <xdr:graphicFrame>
      <xdr:nvGraphicFramePr>
        <xdr:cNvPr id="6" name="Chart 1"/>
        <xdr:cNvGraphicFramePr/>
      </xdr:nvGraphicFramePr>
      <xdr:xfrm>
        <a:off x="1062036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16</xdr:col>
      <xdr:colOff>256320</xdr:colOff>
      <xdr:row>18</xdr:row>
      <xdr:rowOff>1080</xdr:rowOff>
    </xdr:to>
    <xdr:graphicFrame>
      <xdr:nvGraphicFramePr>
        <xdr:cNvPr id="7" name="Chart 1"/>
        <xdr:cNvGraphicFramePr/>
      </xdr:nvGraphicFramePr>
      <xdr:xfrm>
        <a:off x="1076148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18</xdr:col>
      <xdr:colOff>256320</xdr:colOff>
      <xdr:row>16</xdr:row>
      <xdr:rowOff>21960</xdr:rowOff>
    </xdr:to>
    <xdr:graphicFrame>
      <xdr:nvGraphicFramePr>
        <xdr:cNvPr id="8" name="Chart 1"/>
        <xdr:cNvGraphicFramePr/>
      </xdr:nvGraphicFramePr>
      <xdr:xfrm>
        <a:off x="1273500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18</xdr:col>
      <xdr:colOff>255960</xdr:colOff>
      <xdr:row>14</xdr:row>
      <xdr:rowOff>290520</xdr:rowOff>
    </xdr:to>
    <xdr:graphicFrame>
      <xdr:nvGraphicFramePr>
        <xdr:cNvPr id="9" name="Chart 1"/>
        <xdr:cNvGraphicFramePr/>
      </xdr:nvGraphicFramePr>
      <xdr:xfrm>
        <a:off x="1259388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20</xdr:col>
      <xdr:colOff>256320</xdr:colOff>
      <xdr:row>16</xdr:row>
      <xdr:rowOff>21960</xdr:rowOff>
    </xdr:to>
    <xdr:graphicFrame>
      <xdr:nvGraphicFramePr>
        <xdr:cNvPr id="10" name="Chart 1"/>
        <xdr:cNvGraphicFramePr/>
      </xdr:nvGraphicFramePr>
      <xdr:xfrm>
        <a:off x="1484964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ournals.sagepub.com/doi/10.1509/jmkr.48.3.457" TargetMode="External"/><Relationship Id="rId2" Type="http://schemas.openxmlformats.org/officeDocument/2006/relationships/hyperlink" Target="https://proceedings.systemdynamics.org/2015/papers/P1233.pdf" TargetMode="External"/><Relationship Id="rId3" Type="http://schemas.openxmlformats.org/officeDocument/2006/relationships/hyperlink" Target="https://proceedings.systemdynamics.org/2015/papers/P1233.pdf" TargetMode="External"/><Relationship Id="rId4" Type="http://schemas.openxmlformats.org/officeDocument/2006/relationships/hyperlink" Target="https://industry.stateofwatourism.com/wp-content/uploads/SMARI-2024-for-web.pdf" TargetMode="External"/><Relationship Id="rId5" Type="http://schemas.openxmlformats.org/officeDocument/2006/relationships/hyperlink" Target="https://www.wyoleg.gov/InterimCommittee/2019/02-20191209066-169-WTB2019AdvertisingEffectivenessROI.pdf" TargetMode="External"/><Relationship Id="rId6" Type="http://schemas.openxmlformats.org/officeDocument/2006/relationships/hyperlink" Target="https://www.bolton.gov.uk/downloads/file/6971/visitor-report-survey-findings---bolton-food-and-drink-festival-2024" TargetMode="External"/><Relationship Id="rId7" Type="http://schemas.openxmlformats.org/officeDocument/2006/relationships/hyperlink" Target="https://desktop.arcgis.com/en/arcmap/latest/tools/business-analyst-toolbox/how-original-huff-model-works.htm" TargetMode="External"/><Relationship Id="rId8" Type="http://schemas.openxmlformats.org/officeDocument/2006/relationships/hyperlink" Target="https://queue-times.com/parks/16/attendances" TargetMode="External"/><Relationship Id="rId9" Type="http://schemas.openxmlformats.org/officeDocument/2006/relationships/hyperlink" Target="https://www.mnstatefair.org/about/attendance" TargetMode="External"/><Relationship Id="rId10" Type="http://schemas.openxmlformats.org/officeDocument/2006/relationships/hyperlink" Target="https://www.yahoo.com/news/articles/minnesota-state-fair-attendance-continues-001045059.html" TargetMode="External"/><Relationship Id="rId11" Type="http://schemas.openxmlformats.org/officeDocument/2006/relationships/hyperlink" Target="https://insights.live/blog/event-demand-data-you-need-to-forecast-concerts/" TargetMode="External"/><Relationship Id="rId12" Type="http://schemas.openxmlformats.org/officeDocument/2006/relationships/hyperlink" Target="https://orphiq.com/resources/spotify-analytics-tour-routing" TargetMode="External"/><Relationship Id="rId13" Type="http://schemas.openxmlformats.org/officeDocument/2006/relationships/hyperlink" Target="https://www.digitalmusicnews.com/2025/08/21/music-streaming-market-share-data-august-2025/" TargetMode="External"/><Relationship Id="rId14" Type="http://schemas.openxmlformats.org/officeDocument/2006/relationships/hyperlink" Target="https://www.eventcloud.io/blog/how-to-cut-event-no-shows" TargetMode="External"/><Relationship Id="rId15" Type="http://schemas.openxmlformats.org/officeDocument/2006/relationships/hyperlink" Target="https://apps.agriculture.ny.gov/rfps/RFP0131/2015_State_Fair_Survey.pdf" TargetMode="External"/><Relationship Id="rId16" Type="http://schemas.openxmlformats.org/officeDocument/2006/relationships/hyperlink" Target="https://tradingeconomics.com/united-states/consumer-confidence" TargetMode="External"/><Relationship Id="rId17" Type="http://schemas.openxmlformats.org/officeDocument/2006/relationships/hyperlink" Target="https://newsroom.aaa.com/2026/09/national-average-climbs-nearly-5-cents-since-last-week/" TargetMode="External"/><Relationship Id="rId18" Type="http://schemas.openxmlformats.org/officeDocument/2006/relationships/hyperlink" Target="https://www.nber.org/papers/w12530" TargetMode="External"/><Relationship Id="rId19" Type="http://schemas.openxmlformats.org/officeDocument/2006/relationships/hyperlink" Target="https://www.nber.org/papers/w12530" TargetMode="External"/><Relationship Id="rId20" Type="http://schemas.openxmlformats.org/officeDocument/2006/relationships/hyperlink" Target="https://www.nbcnews.com/id/wbna32285243" TargetMode="External"/><Relationship Id="rId21" Type="http://schemas.openxmlformats.org/officeDocument/2006/relationships/hyperlink" Target="https://www.startribune.com/minnesota-state-fair-attendance-2025/601464992" TargetMode="External"/><Relationship Id="rId22" Type="http://schemas.openxmlformats.org/officeDocument/2006/relationships/hyperlink" Target="https://www.nber.org/papers/w12530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5" min="3" style="0" width="10"/>
    <col collapsed="false" customWidth="true" hidden="false" outlineLevel="0" max="6" min="6" style="0" width="14"/>
    <col collapsed="false" customWidth="true" hidden="false" outlineLevel="0" max="7" min="7" style="0" width="90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customFormat="false" ht="15" hidden="false" customHeight="false" outlineLevel="0" collapsed="false">
      <c r="A2" s="4" t="s">
        <v>28</v>
      </c>
      <c r="B2" s="4" t="s">
        <v>29</v>
      </c>
      <c r="C2" s="5" t="n">
        <v>0.09</v>
      </c>
      <c r="D2" s="5" t="n">
        <v>0.12</v>
      </c>
      <c r="E2" s="5" t="n">
        <v>0.24</v>
      </c>
      <c r="F2" s="4" t="s">
        <v>30</v>
      </c>
      <c r="G2" s="4" t="s">
        <v>31</v>
      </c>
      <c r="H2" s="6" t="s">
        <v>32</v>
      </c>
    </row>
    <row r="3" customFormat="false" ht="15" hidden="false" customHeight="false" outlineLevel="0" collapsed="false">
      <c r="A3" s="4" t="s">
        <v>33</v>
      </c>
      <c r="B3" s="4" t="s">
        <v>34</v>
      </c>
      <c r="C3" s="5" t="n">
        <v>0.03</v>
      </c>
      <c r="D3" s="5" t="n">
        <v>0.03</v>
      </c>
      <c r="E3" s="5" t="n">
        <v>0.1</v>
      </c>
      <c r="F3" s="4" t="s">
        <v>35</v>
      </c>
      <c r="G3" s="4" t="s">
        <v>36</v>
      </c>
      <c r="H3" s="6" t="s">
        <v>37</v>
      </c>
    </row>
    <row r="4" customFormat="false" ht="15" hidden="false" customHeight="false" outlineLevel="0" collapsed="false">
      <c r="A4" s="4" t="s">
        <v>38</v>
      </c>
      <c r="B4" s="4" t="s">
        <v>39</v>
      </c>
      <c r="C4" s="5" t="n">
        <v>0.3</v>
      </c>
      <c r="D4" s="5" t="n">
        <v>0.38</v>
      </c>
      <c r="E4" s="5" t="n">
        <v>0.45</v>
      </c>
      <c r="F4" s="4" t="s">
        <v>35</v>
      </c>
      <c r="G4" s="4" t="s">
        <v>40</v>
      </c>
      <c r="H4" s="6" t="s">
        <v>37</v>
      </c>
    </row>
    <row r="5" customFormat="false" ht="15" hidden="false" customHeight="false" outlineLevel="0" collapsed="false">
      <c r="A5" s="4" t="s">
        <v>41</v>
      </c>
      <c r="B5" s="4" t="s">
        <v>42</v>
      </c>
      <c r="C5" s="5" t="n">
        <v>0.15</v>
      </c>
      <c r="D5" s="5" t="n">
        <v>0.25</v>
      </c>
      <c r="E5" s="5" t="n">
        <v>0.35</v>
      </c>
      <c r="F5" s="4" t="s">
        <v>43</v>
      </c>
      <c r="G5" s="4" t="s">
        <v>44</v>
      </c>
      <c r="H5" s="6" t="s">
        <v>45</v>
      </c>
    </row>
    <row r="6" customFormat="false" ht="15" hidden="false" customHeight="false" outlineLevel="0" collapsed="false">
      <c r="A6" s="4" t="s">
        <v>46</v>
      </c>
      <c r="B6" s="4" t="s">
        <v>47</v>
      </c>
      <c r="C6" s="5" t="n">
        <v>0.013</v>
      </c>
      <c r="D6" s="5" t="n">
        <v>0.017</v>
      </c>
      <c r="E6" s="5" t="n">
        <v>0.025</v>
      </c>
      <c r="F6" s="4" t="s">
        <v>43</v>
      </c>
      <c r="G6" s="4" t="s">
        <v>48</v>
      </c>
      <c r="H6" s="6" t="s">
        <v>49</v>
      </c>
    </row>
    <row r="7" customFormat="false" ht="15" hidden="false" customHeight="false" outlineLevel="0" collapsed="false">
      <c r="A7" s="4" t="s">
        <v>50</v>
      </c>
      <c r="B7" s="4" t="s">
        <v>51</v>
      </c>
      <c r="C7" s="5" t="n">
        <v>0.15</v>
      </c>
      <c r="D7" s="5" t="n">
        <v>0.25</v>
      </c>
      <c r="E7" s="5" t="n">
        <v>0.35</v>
      </c>
      <c r="F7" s="4" t="s">
        <v>43</v>
      </c>
      <c r="G7" s="4" t="s">
        <v>52</v>
      </c>
      <c r="H7" s="6" t="s">
        <v>53</v>
      </c>
    </row>
    <row r="8" customFormat="false" ht="15" hidden="false" customHeight="false" outlineLevel="0" collapsed="false">
      <c r="A8" s="4" t="s">
        <v>54</v>
      </c>
      <c r="B8" s="4" t="s">
        <v>55</v>
      </c>
      <c r="C8" s="5" t="n">
        <v>1</v>
      </c>
      <c r="D8" s="5" t="n">
        <v>1.5</v>
      </c>
      <c r="E8" s="5" t="n">
        <v>2</v>
      </c>
      <c r="F8" s="4" t="s">
        <v>56</v>
      </c>
      <c r="G8" s="4" t="s">
        <v>57</v>
      </c>
      <c r="H8" s="6" t="s">
        <v>58</v>
      </c>
    </row>
    <row r="9" customFormat="false" ht="15" hidden="false" customHeight="false" outlineLevel="0" collapsed="false">
      <c r="A9" s="4" t="s">
        <v>59</v>
      </c>
      <c r="B9" s="4" t="s">
        <v>60</v>
      </c>
      <c r="C9" s="5" t="n">
        <v>0.01</v>
      </c>
      <c r="D9" s="5" t="n">
        <v>0.035</v>
      </c>
      <c r="E9" s="5" t="n">
        <v>0.07</v>
      </c>
      <c r="F9" s="4" t="s">
        <v>43</v>
      </c>
      <c r="G9" s="4" t="s">
        <v>61</v>
      </c>
      <c r="H9" s="6" t="s">
        <v>62</v>
      </c>
    </row>
    <row r="10" customFormat="false" ht="15" hidden="false" customHeight="false" outlineLevel="0" collapsed="false">
      <c r="A10" s="4" t="s">
        <v>63</v>
      </c>
      <c r="B10" s="4" t="s">
        <v>64</v>
      </c>
      <c r="C10" s="5" t="n">
        <v>0.52</v>
      </c>
      <c r="D10" s="5" t="n">
        <v>0.55</v>
      </c>
      <c r="E10" s="5" t="n">
        <v>0.58</v>
      </c>
      <c r="F10" s="4" t="s">
        <v>43</v>
      </c>
      <c r="G10" s="4" t="s">
        <v>65</v>
      </c>
      <c r="H10" s="6" t="s">
        <v>66</v>
      </c>
    </row>
    <row r="11" customFormat="false" ht="15" hidden="false" customHeight="false" outlineLevel="0" collapsed="false">
      <c r="A11" s="4" t="s">
        <v>67</v>
      </c>
      <c r="B11" s="4" t="s">
        <v>68</v>
      </c>
      <c r="C11" s="5" t="n">
        <v>0.9</v>
      </c>
      <c r="D11" s="5" t="n">
        <v>1</v>
      </c>
      <c r="E11" s="5" t="n">
        <v>1.02</v>
      </c>
      <c r="F11" s="4" t="s">
        <v>69</v>
      </c>
      <c r="G11" s="4" t="s">
        <v>70</v>
      </c>
      <c r="H11" s="6" t="s">
        <v>71</v>
      </c>
    </row>
    <row r="12" customFormat="false" ht="15" hidden="false" customHeight="false" outlineLevel="0" collapsed="false">
      <c r="A12" s="4" t="s">
        <v>72</v>
      </c>
      <c r="B12" s="4" t="s">
        <v>73</v>
      </c>
      <c r="C12" s="5" t="n">
        <v>0.01</v>
      </c>
      <c r="D12" s="5" t="n">
        <v>0.02</v>
      </c>
      <c r="E12" s="5" t="n">
        <v>0.03</v>
      </c>
      <c r="F12" s="4" t="s">
        <v>43</v>
      </c>
      <c r="G12" s="4" t="s">
        <v>74</v>
      </c>
      <c r="H12" s="6" t="s">
        <v>75</v>
      </c>
    </row>
    <row r="13" customFormat="false" ht="15" hidden="false" customHeight="false" outlineLevel="0" collapsed="false">
      <c r="A13" s="4" t="s">
        <v>76</v>
      </c>
      <c r="B13" s="4" t="s">
        <v>77</v>
      </c>
      <c r="C13" s="5" t="n">
        <v>0.04</v>
      </c>
      <c r="D13" s="5" t="n">
        <v>0.1</v>
      </c>
      <c r="E13" s="5" t="n">
        <v>0.18</v>
      </c>
      <c r="F13" s="4" t="s">
        <v>43</v>
      </c>
      <c r="G13" s="4" t="s">
        <v>78</v>
      </c>
      <c r="H13" s="6" t="s">
        <v>79</v>
      </c>
    </row>
    <row r="14" customFormat="false" ht="15" hidden="false" customHeight="false" outlineLevel="0" collapsed="false">
      <c r="A14" s="4" t="s">
        <v>80</v>
      </c>
      <c r="B14" s="4" t="s">
        <v>81</v>
      </c>
      <c r="C14" s="5" t="n">
        <v>0.25</v>
      </c>
      <c r="D14" s="5" t="n">
        <v>0.35</v>
      </c>
      <c r="E14" s="5" t="n">
        <v>0.45</v>
      </c>
      <c r="F14" s="4" t="s">
        <v>82</v>
      </c>
      <c r="G14" s="4" t="s">
        <v>83</v>
      </c>
      <c r="H14" s="6" t="s">
        <v>84</v>
      </c>
    </row>
    <row r="15" customFormat="false" ht="15" hidden="false" customHeight="false" outlineLevel="0" collapsed="false">
      <c r="A15" s="4" t="s">
        <v>85</v>
      </c>
      <c r="B15" s="4" t="s">
        <v>86</v>
      </c>
      <c r="C15" s="5" t="n">
        <v>0.4</v>
      </c>
      <c r="D15" s="5" t="n">
        <v>0.5</v>
      </c>
      <c r="E15" s="5" t="n">
        <v>0.6</v>
      </c>
      <c r="F15" s="4" t="s">
        <v>43</v>
      </c>
      <c r="G15" s="4" t="s">
        <v>87</v>
      </c>
      <c r="H15" s="6" t="s">
        <v>88</v>
      </c>
    </row>
    <row r="16" customFormat="false" ht="15" hidden="false" customHeight="false" outlineLevel="0" collapsed="false">
      <c r="A16" s="4" t="s">
        <v>89</v>
      </c>
      <c r="B16" s="4" t="s">
        <v>90</v>
      </c>
      <c r="C16" s="5" t="n">
        <v>0.75</v>
      </c>
      <c r="D16" s="5" t="n">
        <v>0.8</v>
      </c>
      <c r="E16" s="5" t="n">
        <v>0.85</v>
      </c>
      <c r="F16" s="4" t="s">
        <v>43</v>
      </c>
      <c r="G16" s="4" t="s">
        <v>91</v>
      </c>
      <c r="H16" s="6" t="s">
        <v>92</v>
      </c>
    </row>
    <row r="17" customFormat="false" ht="15" hidden="false" customHeight="false" outlineLevel="0" collapsed="false">
      <c r="A17" s="4" t="s">
        <v>93</v>
      </c>
      <c r="B17" s="4" t="s">
        <v>94</v>
      </c>
      <c r="C17" s="5" t="n">
        <v>55.1</v>
      </c>
      <c r="D17" s="5" t="n">
        <v>48.1</v>
      </c>
      <c r="E17" s="5" t="n">
        <v>48.1</v>
      </c>
      <c r="F17" s="4" t="s">
        <v>95</v>
      </c>
      <c r="G17" s="4" t="s">
        <v>96</v>
      </c>
      <c r="H17" s="6" t="s">
        <v>97</v>
      </c>
    </row>
    <row r="18" customFormat="false" ht="15" hidden="false" customHeight="false" outlineLevel="0" collapsed="false">
      <c r="A18" s="4" t="s">
        <v>98</v>
      </c>
      <c r="B18" s="4" t="s">
        <v>99</v>
      </c>
      <c r="C18" s="5" t="n">
        <v>3.6</v>
      </c>
      <c r="D18" s="5" t="n">
        <v>4.49</v>
      </c>
      <c r="E18" s="5" t="n">
        <v>4.49</v>
      </c>
      <c r="F18" s="4" t="s">
        <v>100</v>
      </c>
      <c r="G18" s="4" t="s">
        <v>101</v>
      </c>
      <c r="H18" s="6" t="s">
        <v>102</v>
      </c>
    </row>
    <row r="19" customFormat="false" ht="15" hidden="false" customHeight="false" outlineLevel="0" collapsed="false">
      <c r="A19" s="4" t="s">
        <v>103</v>
      </c>
      <c r="B19" s="4" t="s">
        <v>104</v>
      </c>
      <c r="C19" s="5" t="n">
        <v>-0.077</v>
      </c>
      <c r="D19" s="5" t="n">
        <v>-0.05</v>
      </c>
      <c r="E19" s="5" t="n">
        <v>-0.034</v>
      </c>
      <c r="F19" s="4" t="s">
        <v>30</v>
      </c>
      <c r="G19" s="4" t="s">
        <v>105</v>
      </c>
      <c r="H19" s="6" t="s">
        <v>106</v>
      </c>
    </row>
    <row r="20" customFormat="false" ht="15" hidden="false" customHeight="false" outlineLevel="0" collapsed="false">
      <c r="A20" s="4" t="s">
        <v>107</v>
      </c>
      <c r="B20" s="4" t="s">
        <v>108</v>
      </c>
      <c r="C20" s="5" t="n">
        <v>-0.3</v>
      </c>
      <c r="D20" s="5" t="n">
        <v>-0.2</v>
      </c>
      <c r="E20" s="5" t="n">
        <v>-0.1</v>
      </c>
      <c r="F20" s="4" t="s">
        <v>30</v>
      </c>
      <c r="G20" s="4" t="s">
        <v>109</v>
      </c>
      <c r="H20" s="6" t="s">
        <v>106</v>
      </c>
    </row>
    <row r="21" customFormat="false" ht="15" hidden="false" customHeight="false" outlineLevel="0" collapsed="false">
      <c r="A21" s="4" t="s">
        <v>110</v>
      </c>
      <c r="B21" s="4" t="s">
        <v>111</v>
      </c>
      <c r="C21" s="5" t="n">
        <v>0</v>
      </c>
      <c r="D21" s="5" t="n">
        <v>0.01</v>
      </c>
      <c r="E21" s="5" t="n">
        <v>0.03</v>
      </c>
      <c r="F21" s="4" t="s">
        <v>43</v>
      </c>
      <c r="G21" s="4" t="s">
        <v>112</v>
      </c>
      <c r="H21" s="6" t="s">
        <v>113</v>
      </c>
    </row>
    <row r="22" customFormat="false" ht="15" hidden="false" customHeight="false" outlineLevel="0" collapsed="false">
      <c r="A22" s="4" t="s">
        <v>114</v>
      </c>
      <c r="B22" s="4" t="s">
        <v>115</v>
      </c>
      <c r="C22" s="5" t="n">
        <v>-0.06</v>
      </c>
      <c r="D22" s="5" t="n">
        <v>-0.04</v>
      </c>
      <c r="E22" s="5" t="n">
        <v>-0.01</v>
      </c>
      <c r="F22" s="4" t="s">
        <v>43</v>
      </c>
      <c r="G22" s="4" t="s">
        <v>116</v>
      </c>
      <c r="H22" s="6" t="s">
        <v>117</v>
      </c>
    </row>
    <row r="23" customFormat="false" ht="15" hidden="false" customHeight="false" outlineLevel="0" collapsed="false">
      <c r="A23" s="4" t="s">
        <v>118</v>
      </c>
      <c r="B23" s="4" t="s">
        <v>119</v>
      </c>
      <c r="C23" s="5" t="n">
        <v>-0.02</v>
      </c>
      <c r="D23" s="5" t="n">
        <v>-0.004</v>
      </c>
      <c r="E23" s="5" t="n">
        <v>0.015</v>
      </c>
      <c r="F23" s="4" t="s">
        <v>43</v>
      </c>
      <c r="G23" s="4" t="s">
        <v>120</v>
      </c>
      <c r="H23" s="6" t="s">
        <v>106</v>
      </c>
    </row>
  </sheetData>
  <hyperlinks>
    <hyperlink ref="H2" r:id="rId1" display="https://journals.sagepub.com/doi/10.1509/jmkr.48.3.457"/>
    <hyperlink ref="H3" r:id="rId2" display="https://proceedings.systemdynamics.org/2015/papers/P1233.pdf"/>
    <hyperlink ref="H4" r:id="rId3" display="https://proceedings.systemdynamics.org/2015/papers/P1233.pdf"/>
    <hyperlink ref="H5" r:id="rId4" display="https://industry.stateofwatourism.com/wp-content/uploads/SMARI-2024-for-web.pdf"/>
    <hyperlink ref="H6" r:id="rId5" display="https://www.wyoleg.gov/InterimCommittee/2019/02-20191209066-169-WTB2019AdvertisingEffectivenessROI.pdf"/>
    <hyperlink ref="H7" r:id="rId6" display="https://www.bolton.gov.uk/downloads/file/6971/visitor-report-survey-findings---bolton-food-and-drink-festival-2024"/>
    <hyperlink ref="H8" r:id="rId7" display="https://desktop.arcgis.com/en/arcmap/latest/tools/business-analyst-toolbox/how-original-huff-model-works.htm"/>
    <hyperlink ref="H9" r:id="rId8" display="https://queue-times.com/parks/16/attendances"/>
    <hyperlink ref="H10" r:id="rId9" display="https://www.mnstatefair.org/about/attendance"/>
    <hyperlink ref="H11" r:id="rId10" display="https://www.yahoo.com/news/articles/minnesota-state-fair-attendance-continues-001045059.html"/>
    <hyperlink ref="H12" r:id="rId11" display="https://insights.live/blog/event-demand-data-you-need-to-forecast-concerts/"/>
    <hyperlink ref="H13" r:id="rId12" display="https://orphiq.com/resources/spotify-analytics-tour-routing"/>
    <hyperlink ref="H14" r:id="rId13" display="https://www.digitalmusicnews.com/2025/08/21/music-streaming-market-share-data-august-2025/"/>
    <hyperlink ref="H15" r:id="rId14" display="https://www.eventcloud.io/blog/how-to-cut-event-no-shows"/>
    <hyperlink ref="H16" r:id="rId15" display="https://apps.agriculture.ny.gov/rfps/RFP0131/2015_State_Fair_Survey.pdf"/>
    <hyperlink ref="H17" r:id="rId16" display="https://tradingeconomics.com/united-states/consumer-confidence"/>
    <hyperlink ref="H18" r:id="rId17" display="https://newsroom.aaa.com/2026/09/national-average-climbs-nearly-5-cents-since-last-week/"/>
    <hyperlink ref="H19" r:id="rId18" display="https://www.nber.org/papers/w12530"/>
    <hyperlink ref="H20" r:id="rId19" display="https://www.nber.org/papers/w12530"/>
    <hyperlink ref="H21" r:id="rId20" display="https://www.nbcnews.com/id/wbna32285243"/>
    <hyperlink ref="H22" r:id="rId21" display="https://www.startribune.com/minnesota-state-fair-attendance-2025/601464992"/>
    <hyperlink ref="H23" r:id="rId22" display="https://www.nber.org/papers/w1253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3" t="s">
        <v>121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122</v>
      </c>
    </row>
    <row r="2" customFormat="false" ht="15" hidden="false" customHeight="false" outlineLevel="0" collapsed="false">
      <c r="A2" s="7" t="s">
        <v>123</v>
      </c>
    </row>
    <row r="3" customFormat="false" ht="15" hidden="false" customHeight="false" outlineLevel="0" collapsed="false">
      <c r="A3" s="2" t="s">
        <v>124</v>
      </c>
      <c r="B3" s="8" t="n">
        <v>56000</v>
      </c>
      <c r="C3" s="8" t="n">
        <v>56000</v>
      </c>
      <c r="D3" s="8" t="n">
        <v>56000</v>
      </c>
      <c r="E3" s="9" t="s">
        <v>125</v>
      </c>
      <c r="F3" s="9" t="s">
        <v>126</v>
      </c>
    </row>
    <row r="4" customFormat="false" ht="15" hidden="false" customHeight="false" outlineLevel="0" collapsed="false">
      <c r="A4" s="2" t="s">
        <v>127</v>
      </c>
      <c r="B4" s="8" t="n">
        <v>500000</v>
      </c>
      <c r="C4" s="8" t="n">
        <v>500000</v>
      </c>
      <c r="D4" s="8" t="n">
        <v>500000</v>
      </c>
      <c r="E4" s="9" t="s">
        <v>128</v>
      </c>
      <c r="F4" s="9" t="s">
        <v>129</v>
      </c>
    </row>
    <row r="5" customFormat="false" ht="15" hidden="false" customHeight="false" outlineLevel="0" collapsed="false">
      <c r="A5" s="2" t="s">
        <v>130</v>
      </c>
      <c r="B5" s="8" t="n">
        <v>700000</v>
      </c>
      <c r="C5" s="8" t="n">
        <v>700000</v>
      </c>
      <c r="D5" s="8" t="n">
        <v>700000</v>
      </c>
      <c r="E5" s="9" t="s">
        <v>128</v>
      </c>
      <c r="F5" s="9" t="s">
        <v>131</v>
      </c>
    </row>
    <row r="6" customFormat="false" ht="15" hidden="false" customHeight="false" outlineLevel="0" collapsed="false">
      <c r="A6" s="2" t="s">
        <v>132</v>
      </c>
      <c r="B6" s="10" t="n">
        <v>0.2</v>
      </c>
      <c r="C6" s="10" t="n">
        <v>0.2</v>
      </c>
      <c r="D6" s="10" t="n">
        <v>0.2</v>
      </c>
      <c r="E6" s="9" t="s">
        <v>43</v>
      </c>
      <c r="F6" s="9" t="s">
        <v>126</v>
      </c>
    </row>
    <row r="7" customFormat="false" ht="15" hidden="false" customHeight="false" outlineLevel="0" collapsed="false">
      <c r="A7" s="2" t="s">
        <v>133</v>
      </c>
      <c r="B7" s="11" t="n">
        <v>2.4</v>
      </c>
      <c r="C7" s="11" t="n">
        <v>2.4</v>
      </c>
      <c r="D7" s="11" t="n">
        <v>2.4</v>
      </c>
      <c r="E7" s="9" t="s">
        <v>134</v>
      </c>
      <c r="F7" s="9" t="s">
        <v>126</v>
      </c>
    </row>
    <row r="8" customFormat="false" ht="15" hidden="false" customHeight="false" outlineLevel="0" collapsed="false">
      <c r="A8" s="2" t="s">
        <v>135</v>
      </c>
      <c r="B8" s="8" t="n">
        <v>8000</v>
      </c>
      <c r="C8" s="8" t="n">
        <v>8000</v>
      </c>
      <c r="D8" s="8" t="n">
        <v>8000</v>
      </c>
      <c r="E8" s="9" t="s">
        <v>128</v>
      </c>
      <c r="F8" s="9" t="s">
        <v>126</v>
      </c>
    </row>
    <row r="9" customFormat="false" ht="15" hidden="false" customHeight="false" outlineLevel="0" collapsed="false">
      <c r="A9" s="2" t="s">
        <v>136</v>
      </c>
      <c r="B9" s="10" t="n">
        <v>0.2</v>
      </c>
      <c r="C9" s="10" t="n">
        <v>0.2</v>
      </c>
      <c r="D9" s="10" t="n">
        <v>0.2</v>
      </c>
      <c r="E9" s="9" t="s">
        <v>43</v>
      </c>
      <c r="F9" s="9" t="s">
        <v>126</v>
      </c>
    </row>
    <row r="10" customFormat="false" ht="15" hidden="false" customHeight="false" outlineLevel="0" collapsed="false">
      <c r="A10" s="2" t="s">
        <v>137</v>
      </c>
      <c r="B10" s="10" t="n">
        <v>0.25</v>
      </c>
      <c r="C10" s="10" t="n">
        <v>0.25</v>
      </c>
      <c r="D10" s="10" t="n">
        <v>0.25</v>
      </c>
      <c r="E10" s="9" t="s">
        <v>43</v>
      </c>
      <c r="F10" s="9" t="s">
        <v>126</v>
      </c>
    </row>
    <row r="11" customFormat="false" ht="15" hidden="false" customHeight="false" outlineLevel="0" collapsed="false">
      <c r="A11" s="2" t="s">
        <v>138</v>
      </c>
      <c r="B11" s="10" t="n">
        <v>0.3</v>
      </c>
      <c r="C11" s="10" t="n">
        <v>0.3</v>
      </c>
      <c r="D11" s="10" t="n">
        <v>0.3</v>
      </c>
      <c r="E11" s="9" t="s">
        <v>43</v>
      </c>
      <c r="F11" s="9" t="s">
        <v>126</v>
      </c>
    </row>
    <row r="12" customFormat="false" ht="15" hidden="false" customHeight="false" outlineLevel="0" collapsed="false">
      <c r="A12" s="2" t="s">
        <v>139</v>
      </c>
      <c r="B12" s="10" t="n">
        <v>0.25</v>
      </c>
      <c r="C12" s="10" t="n">
        <v>0.25</v>
      </c>
      <c r="D12" s="10" t="n">
        <v>0.25</v>
      </c>
      <c r="E12" s="9" t="s">
        <v>43</v>
      </c>
      <c r="F12" s="9" t="s">
        <v>126</v>
      </c>
    </row>
    <row r="13" customFormat="false" ht="15" hidden="false" customHeight="false" outlineLevel="0" collapsed="false">
      <c r="A13" s="7" t="s">
        <v>140</v>
      </c>
    </row>
    <row r="14" customFormat="false" ht="15" hidden="false" customHeight="false" outlineLevel="0" collapsed="false">
      <c r="A14" s="2" t="s">
        <v>141</v>
      </c>
      <c r="B14" s="8" t="n">
        <v>56800</v>
      </c>
      <c r="C14" s="12" t="n">
        <f aca="false">Baseline!C24</f>
        <v>58564.7495221328</v>
      </c>
      <c r="D14" s="8" t="n">
        <v>59800</v>
      </c>
      <c r="E14" s="9" t="s">
        <v>125</v>
      </c>
      <c r="F14" s="9" t="s">
        <v>142</v>
      </c>
    </row>
    <row r="15" customFormat="false" ht="15" hidden="false" customHeight="false" outlineLevel="0" collapsed="false">
      <c r="A15" s="2" t="s">
        <v>143</v>
      </c>
      <c r="B15" s="10" t="n">
        <v>-0.02</v>
      </c>
      <c r="C15" s="10" t="n">
        <v>0.005</v>
      </c>
      <c r="D15" s="10" t="n">
        <v>0.024</v>
      </c>
      <c r="E15" s="9" t="s">
        <v>43</v>
      </c>
      <c r="F15" s="9" t="s">
        <v>144</v>
      </c>
    </row>
    <row r="16" customFormat="false" ht="15" hidden="false" customHeight="false" outlineLevel="0" collapsed="false">
      <c r="A16" s="2" t="s">
        <v>145</v>
      </c>
      <c r="B16" s="10" t="n">
        <v>0.01</v>
      </c>
      <c r="C16" s="13" t="n">
        <v>0.035</v>
      </c>
      <c r="D16" s="10" t="n">
        <v>0.07</v>
      </c>
      <c r="E16" s="9" t="s">
        <v>43</v>
      </c>
      <c r="F16" s="9" t="s">
        <v>146</v>
      </c>
    </row>
    <row r="17" customFormat="false" ht="15" hidden="false" customHeight="false" outlineLevel="0" collapsed="false">
      <c r="A17" s="2" t="s">
        <v>147</v>
      </c>
      <c r="B17" s="10" t="n">
        <v>-0.02</v>
      </c>
      <c r="C17" s="14" t="n">
        <f aca="false">Macro!B24</f>
        <v>-0.00836111111111111</v>
      </c>
      <c r="D17" s="10" t="n">
        <v>0.015</v>
      </c>
      <c r="E17" s="9" t="s">
        <v>43</v>
      </c>
      <c r="F17" s="9" t="s">
        <v>148</v>
      </c>
    </row>
    <row r="18" customFormat="false" ht="15" hidden="false" customHeight="false" outlineLevel="0" collapsed="false">
      <c r="A18" s="2" t="s">
        <v>149</v>
      </c>
      <c r="B18" s="8" t="n">
        <v>1000</v>
      </c>
      <c r="C18" s="15" t="n">
        <v>2000</v>
      </c>
      <c r="D18" s="8" t="n">
        <v>4500</v>
      </c>
      <c r="E18" s="9" t="s">
        <v>125</v>
      </c>
      <c r="F18" s="9" t="s">
        <v>150</v>
      </c>
    </row>
    <row r="19" customFormat="false" ht="15" hidden="false" customHeight="false" outlineLevel="0" collapsed="false">
      <c r="A19" s="2" t="s">
        <v>151</v>
      </c>
      <c r="B19" s="8" t="n">
        <v>400</v>
      </c>
      <c r="C19" s="8" t="n">
        <v>800</v>
      </c>
      <c r="D19" s="8" t="n">
        <v>2000</v>
      </c>
      <c r="E19" s="9" t="s">
        <v>125</v>
      </c>
      <c r="F19" s="9" t="s">
        <v>152</v>
      </c>
    </row>
    <row r="20" customFormat="false" ht="15" hidden="false" customHeight="false" outlineLevel="0" collapsed="false">
      <c r="A20" s="2" t="s">
        <v>153</v>
      </c>
      <c r="B20" s="8" t="n">
        <v>100</v>
      </c>
      <c r="C20" s="8" t="n">
        <v>100</v>
      </c>
      <c r="D20" s="8" t="n">
        <v>100</v>
      </c>
      <c r="E20" s="9" t="s">
        <v>125</v>
      </c>
      <c r="F20" s="9" t="s">
        <v>154</v>
      </c>
    </row>
    <row r="21" customFormat="false" ht="15" hidden="false" customHeight="false" outlineLevel="0" collapsed="false">
      <c r="A21" s="2" t="s">
        <v>155</v>
      </c>
      <c r="B21" s="11" t="n">
        <v>0.9</v>
      </c>
      <c r="C21" s="11" t="n">
        <v>1</v>
      </c>
      <c r="D21" s="11" t="n">
        <v>1.02</v>
      </c>
      <c r="E21" s="9" t="s">
        <v>134</v>
      </c>
      <c r="F21" s="9" t="s">
        <v>156</v>
      </c>
    </row>
    <row r="22" customFormat="false" ht="15" hidden="false" customHeight="false" outlineLevel="0" collapsed="false">
      <c r="A22" s="2" t="s">
        <v>157</v>
      </c>
      <c r="B22" s="10" t="n">
        <v>0.52</v>
      </c>
      <c r="C22" s="10" t="n">
        <v>0.55</v>
      </c>
      <c r="D22" s="10" t="n">
        <v>0.58</v>
      </c>
      <c r="E22" s="9" t="s">
        <v>43</v>
      </c>
      <c r="F22" s="9" t="s">
        <v>158</v>
      </c>
    </row>
    <row r="23" customFormat="false" ht="15" hidden="false" customHeight="false" outlineLevel="0" collapsed="false">
      <c r="A23" s="7" t="s">
        <v>159</v>
      </c>
    </row>
    <row r="24" customFormat="false" ht="15" hidden="false" customHeight="false" outlineLevel="0" collapsed="false">
      <c r="A24" s="2" t="s">
        <v>160</v>
      </c>
      <c r="B24" s="11" t="n">
        <v>0.09</v>
      </c>
      <c r="C24" s="11" t="n">
        <v>0.12</v>
      </c>
      <c r="D24" s="11" t="n">
        <v>0.24</v>
      </c>
      <c r="E24" s="9" t="s">
        <v>30</v>
      </c>
      <c r="F24" s="9" t="s">
        <v>161</v>
      </c>
    </row>
    <row r="25" customFormat="false" ht="15" hidden="false" customHeight="false" outlineLevel="0" collapsed="false">
      <c r="A25" s="2" t="s">
        <v>162</v>
      </c>
      <c r="B25" s="11" t="n">
        <v>0.03</v>
      </c>
      <c r="C25" s="11" t="n">
        <v>0.03</v>
      </c>
      <c r="D25" s="11" t="n">
        <v>0.1</v>
      </c>
      <c r="E25" s="9" t="s">
        <v>35</v>
      </c>
      <c r="F25" s="9" t="s">
        <v>163</v>
      </c>
    </row>
    <row r="26" customFormat="false" ht="15" hidden="false" customHeight="false" outlineLevel="0" collapsed="false">
      <c r="A26" s="2" t="s">
        <v>164</v>
      </c>
      <c r="B26" s="11" t="n">
        <v>0.3</v>
      </c>
      <c r="C26" s="11" t="n">
        <v>0.38</v>
      </c>
      <c r="D26" s="11" t="n">
        <v>0.45</v>
      </c>
      <c r="E26" s="9" t="s">
        <v>35</v>
      </c>
      <c r="F26" s="9" t="s">
        <v>163</v>
      </c>
    </row>
    <row r="27" customFormat="false" ht="15" hidden="false" customHeight="false" outlineLevel="0" collapsed="false">
      <c r="A27" s="2" t="s">
        <v>165</v>
      </c>
      <c r="B27" s="10" t="n">
        <v>0.15</v>
      </c>
      <c r="C27" s="10" t="n">
        <v>0.25</v>
      </c>
      <c r="D27" s="10" t="n">
        <v>0.35</v>
      </c>
      <c r="E27" s="9" t="s">
        <v>43</v>
      </c>
      <c r="F27" s="9" t="s">
        <v>166</v>
      </c>
    </row>
    <row r="28" customFormat="false" ht="15" hidden="false" customHeight="false" outlineLevel="0" collapsed="false">
      <c r="A28" s="2" t="s">
        <v>167</v>
      </c>
      <c r="B28" s="10" t="n">
        <v>0.013</v>
      </c>
      <c r="C28" s="10" t="n">
        <v>0.017</v>
      </c>
      <c r="D28" s="10" t="n">
        <v>0.025</v>
      </c>
      <c r="E28" s="9" t="s">
        <v>43</v>
      </c>
      <c r="F28" s="9" t="s">
        <v>168</v>
      </c>
    </row>
    <row r="29" customFormat="false" ht="15" hidden="false" customHeight="false" outlineLevel="0" collapsed="false">
      <c r="A29" s="2" t="s">
        <v>169</v>
      </c>
      <c r="B29" s="10" t="n">
        <v>0.15</v>
      </c>
      <c r="C29" s="13" t="n">
        <v>0.25</v>
      </c>
      <c r="D29" s="10" t="n">
        <v>0.35</v>
      </c>
      <c r="E29" s="9" t="s">
        <v>43</v>
      </c>
      <c r="F29" s="9" t="s">
        <v>170</v>
      </c>
    </row>
    <row r="30" customFormat="false" ht="15" hidden="false" customHeight="false" outlineLevel="0" collapsed="false">
      <c r="A30" s="2" t="s">
        <v>171</v>
      </c>
      <c r="B30" s="10" t="n">
        <v>0.05</v>
      </c>
      <c r="C30" s="10" t="n">
        <v>0.05</v>
      </c>
      <c r="D30" s="10" t="n">
        <v>0.05</v>
      </c>
      <c r="E30" s="9" t="s">
        <v>43</v>
      </c>
      <c r="F30" s="9" t="s">
        <v>172</v>
      </c>
    </row>
    <row r="31" customFormat="false" ht="15" hidden="false" customHeight="false" outlineLevel="0" collapsed="false">
      <c r="A31" s="2" t="s">
        <v>173</v>
      </c>
      <c r="B31" s="11" t="n">
        <v>1</v>
      </c>
      <c r="C31" s="11" t="n">
        <v>1.5</v>
      </c>
      <c r="D31" s="11" t="n">
        <v>2</v>
      </c>
      <c r="E31" s="9" t="s">
        <v>56</v>
      </c>
      <c r="F31" s="9" t="s">
        <v>174</v>
      </c>
    </row>
    <row r="32" customFormat="false" ht="15" hidden="false" customHeight="false" outlineLevel="0" collapsed="false">
      <c r="A32" s="2" t="s">
        <v>175</v>
      </c>
      <c r="B32" s="8" t="n">
        <v>12</v>
      </c>
      <c r="C32" s="8" t="n">
        <v>12</v>
      </c>
      <c r="D32" s="8" t="n">
        <v>12</v>
      </c>
      <c r="E32" s="9" t="s">
        <v>176</v>
      </c>
      <c r="F32" s="9" t="s">
        <v>172</v>
      </c>
    </row>
    <row r="33" customFormat="false" ht="15" hidden="false" customHeight="false" outlineLevel="0" collapsed="false">
      <c r="A33" s="2" t="s">
        <v>177</v>
      </c>
      <c r="B33" s="8" t="n">
        <v>45</v>
      </c>
      <c r="C33" s="8" t="n">
        <v>45</v>
      </c>
      <c r="D33" s="8" t="n">
        <v>45</v>
      </c>
      <c r="E33" s="9" t="s">
        <v>176</v>
      </c>
      <c r="F33" s="9" t="s">
        <v>172</v>
      </c>
    </row>
    <row r="34" customFormat="false" ht="15" hidden="false" customHeight="false" outlineLevel="0" collapsed="false">
      <c r="A34" s="2" t="s">
        <v>178</v>
      </c>
      <c r="B34" s="11" t="n">
        <v>0.14</v>
      </c>
      <c r="C34" s="11" t="n">
        <v>0.25</v>
      </c>
      <c r="D34" s="11" t="n">
        <v>0.4</v>
      </c>
      <c r="E34" s="9" t="s">
        <v>134</v>
      </c>
      <c r="F34" s="9" t="s">
        <v>179</v>
      </c>
    </row>
    <row r="35" customFormat="false" ht="15" hidden="false" customHeight="false" outlineLevel="0" collapsed="false">
      <c r="A35" s="2" t="s">
        <v>180</v>
      </c>
      <c r="B35" s="11" t="n">
        <v>2</v>
      </c>
      <c r="C35" s="11" t="n">
        <v>2</v>
      </c>
      <c r="D35" s="11" t="n">
        <v>2</v>
      </c>
      <c r="E35" s="9" t="s">
        <v>134</v>
      </c>
      <c r="F35" s="9" t="s">
        <v>181</v>
      </c>
    </row>
    <row r="36" customFormat="false" ht="15" hidden="false" customHeight="false" outlineLevel="0" collapsed="false">
      <c r="A36" s="2" t="s">
        <v>182</v>
      </c>
      <c r="B36" s="10" t="n">
        <v>0.75</v>
      </c>
      <c r="C36" s="10" t="n">
        <v>0.75</v>
      </c>
      <c r="D36" s="10" t="n">
        <v>0.75</v>
      </c>
      <c r="E36" s="9" t="s">
        <v>43</v>
      </c>
      <c r="F36" s="9" t="s">
        <v>183</v>
      </c>
    </row>
    <row r="37" customFormat="false" ht="15" hidden="false" customHeight="false" outlineLevel="0" collapsed="false">
      <c r="A37" s="2" t="s">
        <v>184</v>
      </c>
      <c r="B37" s="10" t="n">
        <v>0.2</v>
      </c>
      <c r="C37" s="10" t="n">
        <v>0.3</v>
      </c>
      <c r="D37" s="10" t="n">
        <v>0.45</v>
      </c>
      <c r="E37" s="9" t="s">
        <v>43</v>
      </c>
      <c r="F37" s="9" t="s">
        <v>185</v>
      </c>
    </row>
    <row r="38" customFormat="false" ht="15" hidden="false" customHeight="false" outlineLevel="0" collapsed="false">
      <c r="A38" s="2" t="s">
        <v>186</v>
      </c>
      <c r="B38" s="10" t="n">
        <v>0.1</v>
      </c>
      <c r="C38" s="10" t="n">
        <v>0.15</v>
      </c>
      <c r="D38" s="10" t="n">
        <v>0.25</v>
      </c>
      <c r="E38" s="9" t="s">
        <v>43</v>
      </c>
      <c r="F38" s="9" t="s">
        <v>187</v>
      </c>
    </row>
    <row r="39" customFormat="false" ht="15" hidden="false" customHeight="false" outlineLevel="0" collapsed="false">
      <c r="A39" s="2" t="s">
        <v>188</v>
      </c>
      <c r="B39" s="10" t="n">
        <v>0.75</v>
      </c>
      <c r="C39" s="10" t="n">
        <v>0.8</v>
      </c>
      <c r="D39" s="10" t="n">
        <v>0.85</v>
      </c>
      <c r="E39" s="9" t="s">
        <v>43</v>
      </c>
      <c r="F39" s="9" t="s">
        <v>189</v>
      </c>
    </row>
    <row r="40" customFormat="false" ht="15" hidden="false" customHeight="false" outlineLevel="0" collapsed="false">
      <c r="A40" s="2" t="s">
        <v>190</v>
      </c>
      <c r="B40" s="10" t="n">
        <v>0.4</v>
      </c>
      <c r="C40" s="10" t="n">
        <v>0.5</v>
      </c>
      <c r="D40" s="10" t="n">
        <v>0.6</v>
      </c>
      <c r="E40" s="9" t="s">
        <v>43</v>
      </c>
      <c r="F40" s="9" t="s">
        <v>191</v>
      </c>
    </row>
    <row r="41" customFormat="false" ht="15" hidden="false" customHeight="false" outlineLevel="0" collapsed="false">
      <c r="A41" s="7" t="s">
        <v>192</v>
      </c>
    </row>
    <row r="42" customFormat="false" ht="15" hidden="false" customHeight="false" outlineLevel="0" collapsed="false">
      <c r="A42" s="2" t="s">
        <v>193</v>
      </c>
      <c r="B42" s="8" t="n">
        <v>7400000</v>
      </c>
      <c r="C42" s="8" t="n">
        <v>7400000</v>
      </c>
      <c r="D42" s="8" t="n">
        <v>7400000</v>
      </c>
      <c r="E42" s="9" t="s">
        <v>194</v>
      </c>
      <c r="F42" s="9" t="s">
        <v>195</v>
      </c>
    </row>
    <row r="43" customFormat="false" ht="15" hidden="false" customHeight="false" outlineLevel="0" collapsed="false">
      <c r="A43" s="2" t="s">
        <v>196</v>
      </c>
      <c r="B43" s="11" t="n">
        <v>0.25</v>
      </c>
      <c r="C43" s="11" t="n">
        <v>0.35</v>
      </c>
      <c r="D43" s="11" t="n">
        <v>0.45</v>
      </c>
      <c r="E43" s="9" t="s">
        <v>134</v>
      </c>
      <c r="F43" s="9" t="s">
        <v>197</v>
      </c>
    </row>
    <row r="44" customFormat="false" ht="15" hidden="false" customHeight="false" outlineLevel="0" collapsed="false">
      <c r="A44" s="2" t="s">
        <v>198</v>
      </c>
      <c r="B44" s="10" t="n">
        <v>0.07</v>
      </c>
      <c r="C44" s="10" t="n">
        <v>0.07</v>
      </c>
      <c r="D44" s="10" t="n">
        <v>0.07</v>
      </c>
      <c r="E44" s="9" t="s">
        <v>43</v>
      </c>
      <c r="F44" s="9" t="s">
        <v>172</v>
      </c>
    </row>
    <row r="45" customFormat="false" ht="15" hidden="false" customHeight="false" outlineLevel="0" collapsed="false">
      <c r="A45" s="2" t="s">
        <v>199</v>
      </c>
      <c r="B45" s="10" t="n">
        <v>0.4</v>
      </c>
      <c r="C45" s="10" t="n">
        <v>0.6</v>
      </c>
      <c r="D45" s="10" t="n">
        <v>0.8</v>
      </c>
      <c r="E45" s="9" t="s">
        <v>43</v>
      </c>
      <c r="F45" s="9" t="s">
        <v>200</v>
      </c>
    </row>
    <row r="46" customFormat="false" ht="15" hidden="false" customHeight="false" outlineLevel="0" collapsed="false">
      <c r="A46" s="2" t="s">
        <v>201</v>
      </c>
      <c r="B46" s="8" t="n">
        <v>340000000</v>
      </c>
      <c r="C46" s="8" t="n">
        <v>340000000</v>
      </c>
      <c r="D46" s="8" t="n">
        <v>340000000</v>
      </c>
      <c r="E46" s="9" t="s">
        <v>128</v>
      </c>
      <c r="F46" s="9" t="s">
        <v>202</v>
      </c>
    </row>
    <row r="47" customFormat="false" ht="15" hidden="false" customHeight="false" outlineLevel="0" collapsed="false">
      <c r="A47" s="2" t="s">
        <v>203</v>
      </c>
      <c r="B47" s="11" t="n">
        <v>0.5</v>
      </c>
      <c r="C47" s="11" t="n">
        <v>1</v>
      </c>
      <c r="D47" s="11" t="n">
        <v>2.5</v>
      </c>
      <c r="E47" s="9" t="s">
        <v>134</v>
      </c>
      <c r="F47" s="9" t="s">
        <v>204</v>
      </c>
    </row>
    <row r="48" customFormat="false" ht="15" hidden="false" customHeight="false" outlineLevel="0" collapsed="false">
      <c r="A48" s="2" t="s">
        <v>205</v>
      </c>
      <c r="B48" s="11" t="n">
        <v>0.6</v>
      </c>
      <c r="C48" s="11" t="n">
        <v>1</v>
      </c>
      <c r="D48" s="11" t="n">
        <v>1.5</v>
      </c>
      <c r="E48" s="9" t="s">
        <v>134</v>
      </c>
      <c r="F48" s="9" t="s">
        <v>206</v>
      </c>
    </row>
    <row r="49" customFormat="false" ht="15" hidden="false" customHeight="false" outlineLevel="0" collapsed="false">
      <c r="A49" s="2" t="s">
        <v>207</v>
      </c>
      <c r="B49" s="10" t="n">
        <v>0.04</v>
      </c>
      <c r="C49" s="10" t="n">
        <v>0.1</v>
      </c>
      <c r="D49" s="10" t="n">
        <v>0.18</v>
      </c>
      <c r="E49" s="9" t="s">
        <v>43</v>
      </c>
      <c r="F49" s="9" t="s">
        <v>208</v>
      </c>
    </row>
    <row r="50" customFormat="false" ht="15" hidden="false" customHeight="false" outlineLevel="0" collapsed="false">
      <c r="A50" s="2" t="s">
        <v>209</v>
      </c>
      <c r="B50" s="10" t="n">
        <v>0.5</v>
      </c>
      <c r="C50" s="10" t="n">
        <v>0.7</v>
      </c>
      <c r="D50" s="10" t="n">
        <v>0.85</v>
      </c>
      <c r="E50" s="9" t="s">
        <v>43</v>
      </c>
      <c r="F50" s="9" t="s">
        <v>172</v>
      </c>
    </row>
    <row r="51" customFormat="false" ht="15" hidden="false" customHeight="false" outlineLevel="0" collapsed="false">
      <c r="A51" s="2" t="s">
        <v>210</v>
      </c>
      <c r="B51" s="10" t="n">
        <v>0.1</v>
      </c>
      <c r="C51" s="10" t="n">
        <v>0.1</v>
      </c>
      <c r="D51" s="10" t="n">
        <v>0.1</v>
      </c>
      <c r="E51" s="9" t="s">
        <v>43</v>
      </c>
      <c r="F51" s="9" t="s">
        <v>211</v>
      </c>
    </row>
    <row r="52" customFormat="false" ht="15" hidden="false" customHeight="false" outlineLevel="0" collapsed="false">
      <c r="A52" s="2" t="s">
        <v>212</v>
      </c>
      <c r="B52" s="10" t="n">
        <v>0.4</v>
      </c>
      <c r="C52" s="10" t="n">
        <v>0.4</v>
      </c>
      <c r="D52" s="10" t="n">
        <v>0.4</v>
      </c>
      <c r="E52" s="9" t="s">
        <v>43</v>
      </c>
      <c r="F52" s="9" t="s">
        <v>172</v>
      </c>
    </row>
    <row r="53" customFormat="false" ht="15" hidden="false" customHeight="false" outlineLevel="0" collapsed="false">
      <c r="A53" s="7" t="s">
        <v>213</v>
      </c>
    </row>
    <row r="54" customFormat="false" ht="15" hidden="false" customHeight="false" outlineLevel="0" collapsed="false">
      <c r="A54" s="2" t="s">
        <v>214</v>
      </c>
      <c r="B54" s="16" t="n">
        <v>4.49</v>
      </c>
      <c r="C54" s="16" t="n">
        <v>4.49</v>
      </c>
      <c r="D54" s="16" t="n">
        <v>4.49</v>
      </c>
      <c r="E54" s="9" t="s">
        <v>215</v>
      </c>
      <c r="F54" s="9" t="s">
        <v>216</v>
      </c>
    </row>
    <row r="55" customFormat="false" ht="15" hidden="false" customHeight="false" outlineLevel="0" collapsed="false">
      <c r="A55" s="2" t="s">
        <v>217</v>
      </c>
      <c r="B55" s="16" t="n">
        <v>3.6</v>
      </c>
      <c r="C55" s="16" t="n">
        <v>3.6</v>
      </c>
      <c r="D55" s="16" t="n">
        <v>3.6</v>
      </c>
      <c r="E55" s="9" t="s">
        <v>215</v>
      </c>
      <c r="F55" s="9" t="s">
        <v>218</v>
      </c>
    </row>
    <row r="56" customFormat="false" ht="15" hidden="false" customHeight="false" outlineLevel="0" collapsed="false">
      <c r="A56" s="2" t="s">
        <v>219</v>
      </c>
      <c r="B56" s="11" t="n">
        <v>-0.3</v>
      </c>
      <c r="C56" s="11" t="n">
        <v>-0.2</v>
      </c>
      <c r="D56" s="11" t="n">
        <v>-0.1</v>
      </c>
      <c r="E56" s="9" t="s">
        <v>30</v>
      </c>
      <c r="F56" s="9" t="s">
        <v>220</v>
      </c>
    </row>
    <row r="57" customFormat="false" ht="15" hidden="false" customHeight="false" outlineLevel="0" collapsed="false">
      <c r="A57" s="2" t="s">
        <v>221</v>
      </c>
      <c r="B57" s="10" t="n">
        <v>0</v>
      </c>
      <c r="C57" s="10" t="n">
        <v>0.01</v>
      </c>
      <c r="D57" s="10" t="n">
        <v>0.03</v>
      </c>
      <c r="E57" s="9" t="s">
        <v>43</v>
      </c>
      <c r="F57" s="9" t="s">
        <v>222</v>
      </c>
    </row>
    <row r="58" customFormat="false" ht="15" hidden="false" customHeight="false" outlineLevel="0" collapsed="false">
      <c r="A58" s="2" t="s">
        <v>223</v>
      </c>
      <c r="B58" s="10" t="n">
        <v>-0.01</v>
      </c>
      <c r="C58" s="10" t="n">
        <v>-0.003</v>
      </c>
      <c r="D58" s="10" t="n">
        <v>0</v>
      </c>
      <c r="E58" s="9" t="s">
        <v>43</v>
      </c>
      <c r="F58" s="9" t="s">
        <v>224</v>
      </c>
    </row>
    <row r="59" customFormat="false" ht="15" hidden="false" customHeight="false" outlineLevel="0" collapsed="false">
      <c r="A59" s="2" t="s">
        <v>225</v>
      </c>
      <c r="B59" s="10" t="n">
        <v>-0.06</v>
      </c>
      <c r="C59" s="10" t="n">
        <v>-0.04</v>
      </c>
      <c r="D59" s="10" t="n">
        <v>-0.01</v>
      </c>
      <c r="E59" s="9" t="s">
        <v>43</v>
      </c>
      <c r="F59" s="9" t="s">
        <v>226</v>
      </c>
    </row>
    <row r="60" customFormat="false" ht="15" hidden="false" customHeight="false" outlineLevel="0" collapsed="false">
      <c r="A60" s="2" t="s">
        <v>227</v>
      </c>
      <c r="B60" s="10" t="n">
        <v>0.046</v>
      </c>
      <c r="C60" s="10" t="n">
        <v>0.046</v>
      </c>
      <c r="D60" s="10" t="n">
        <v>0.046</v>
      </c>
      <c r="E60" s="9" t="s">
        <v>43</v>
      </c>
      <c r="F60" s="9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7" t="s">
        <v>229</v>
      </c>
    </row>
    <row r="2" customFormat="false" ht="23.85" hidden="false" customHeight="false" outlineLevel="0" collapsed="false">
      <c r="A2" s="3" t="s">
        <v>230</v>
      </c>
      <c r="B2" s="3" t="s">
        <v>231</v>
      </c>
      <c r="C2" s="3" t="s">
        <v>232</v>
      </c>
      <c r="D2" s="3" t="s">
        <v>233</v>
      </c>
      <c r="E2" s="3" t="s">
        <v>234</v>
      </c>
      <c r="F2" s="3" t="s">
        <v>235</v>
      </c>
      <c r="G2" s="3" t="s">
        <v>236</v>
      </c>
      <c r="H2" s="3" t="s">
        <v>237</v>
      </c>
    </row>
    <row r="3" customFormat="false" ht="15" hidden="false" customHeight="false" outlineLevel="0" collapsed="false">
      <c r="A3" s="2" t="s">
        <v>238</v>
      </c>
      <c r="B3" s="17" t="n">
        <f aca="false">A3-2020</f>
        <v>1</v>
      </c>
      <c r="C3" s="8" t="n">
        <v>49000</v>
      </c>
      <c r="D3" s="18" t="n">
        <f aca="false">LN(C3)</f>
        <v>10.7995755770928</v>
      </c>
      <c r="E3" s="19" t="n">
        <f aca="false">C3</f>
        <v>49000</v>
      </c>
      <c r="F3" s="19" t="n">
        <f aca="false">C4-C3</f>
        <v>-500</v>
      </c>
      <c r="H3" s="9" t="s">
        <v>239</v>
      </c>
    </row>
    <row r="4" customFormat="false" ht="15" hidden="false" customHeight="false" outlineLevel="0" collapsed="false">
      <c r="A4" s="2" t="s">
        <v>240</v>
      </c>
      <c r="B4" s="17" t="n">
        <f aca="false">A4-2020</f>
        <v>2</v>
      </c>
      <c r="C4" s="8" t="n">
        <v>48500</v>
      </c>
      <c r="D4" s="18" t="n">
        <f aca="false">LN(C4)</f>
        <v>10.7893190769256</v>
      </c>
      <c r="E4" s="19" t="n">
        <f aca="false">$B$11*C4+(1-$B$11)*(E3+F3)</f>
        <v>48500</v>
      </c>
      <c r="F4" s="19" t="n">
        <f aca="false">$B$12*(E4-E3)+(1-$B$12)*F3</f>
        <v>-500</v>
      </c>
      <c r="G4" s="19" t="n">
        <f aca="false">E3+F3</f>
        <v>48500</v>
      </c>
      <c r="H4" s="9" t="s">
        <v>239</v>
      </c>
    </row>
    <row r="5" customFormat="false" ht="15" hidden="false" customHeight="false" outlineLevel="0" collapsed="false">
      <c r="A5" s="2" t="s">
        <v>241</v>
      </c>
      <c r="B5" s="17" t="n">
        <f aca="false">A5-2020</f>
        <v>3</v>
      </c>
      <c r="C5" s="8" t="n">
        <v>50000</v>
      </c>
      <c r="D5" s="18" t="n">
        <f aca="false">LN(C5)</f>
        <v>10.8197782844103</v>
      </c>
      <c r="E5" s="19" t="n">
        <f aca="false">$B$11*C5+(1-$B$11)*(E4+F4)</f>
        <v>49800</v>
      </c>
      <c r="F5" s="19" t="n">
        <f aca="false">$B$12*(E5-E4)+(1-$B$12)*F4</f>
        <v>1120</v>
      </c>
      <c r="G5" s="19" t="n">
        <f aca="false">E4+F4</f>
        <v>48000</v>
      </c>
      <c r="H5" s="9" t="s">
        <v>242</v>
      </c>
    </row>
    <row r="6" customFormat="false" ht="15" hidden="false" customHeight="false" outlineLevel="0" collapsed="false">
      <c r="A6" s="2" t="s">
        <v>243</v>
      </c>
      <c r="B6" s="17" t="n">
        <f aca="false">A6-2020</f>
        <v>4</v>
      </c>
      <c r="C6" s="8" t="n">
        <v>53500</v>
      </c>
      <c r="D6" s="18" t="n">
        <f aca="false">LN(C6)</f>
        <v>10.8874369328841</v>
      </c>
      <c r="E6" s="19" t="n">
        <f aca="false">$B$11*C6+(1-$B$11)*(E5+F5)</f>
        <v>53242</v>
      </c>
      <c r="F6" s="19" t="n">
        <f aca="false">$B$12*(E6-E5)+(1-$B$12)*F5</f>
        <v>3209.8</v>
      </c>
      <c r="G6" s="19" t="n">
        <f aca="false">E5+F5</f>
        <v>50920</v>
      </c>
      <c r="H6" s="9" t="s">
        <v>244</v>
      </c>
    </row>
    <row r="7" customFormat="false" ht="15" hidden="false" customHeight="false" outlineLevel="0" collapsed="false">
      <c r="A7" s="2" t="s">
        <v>245</v>
      </c>
      <c r="B7" s="17" t="n">
        <f aca="false">A7-2020</f>
        <v>5</v>
      </c>
      <c r="C7" s="8" t="n">
        <v>56000</v>
      </c>
      <c r="D7" s="18" t="n">
        <f aca="false">LN(C7)</f>
        <v>10.9331069697173</v>
      </c>
      <c r="E7" s="19" t="n">
        <f aca="false">$B$11*C7+(1-$B$11)*(E6+F6)</f>
        <v>56045.18</v>
      </c>
      <c r="F7" s="19" t="n">
        <f aca="false">$B$12*(E7-E6)+(1-$B$12)*F6</f>
        <v>2843.842</v>
      </c>
      <c r="G7" s="19" t="n">
        <f aca="false">E6+F6</f>
        <v>56451.8</v>
      </c>
      <c r="H7" s="9" t="s">
        <v>246</v>
      </c>
    </row>
    <row r="8" customFormat="false" ht="15" hidden="false" customHeight="false" outlineLevel="0" collapsed="false">
      <c r="A8" s="2" t="s">
        <v>247</v>
      </c>
      <c r="B8" s="17" t="n">
        <f aca="false">A8-2020</f>
        <v>6</v>
      </c>
      <c r="G8" s="19" t="n">
        <f aca="false">E7+F7</f>
        <v>58889.022</v>
      </c>
      <c r="H8" s="20" t="s">
        <v>248</v>
      </c>
    </row>
    <row r="10" customFormat="false" ht="15" hidden="false" customHeight="false" outlineLevel="0" collapsed="false">
      <c r="A10" s="7" t="s">
        <v>249</v>
      </c>
    </row>
    <row r="11" customFormat="false" ht="15" hidden="false" customHeight="false" outlineLevel="0" collapsed="false">
      <c r="A11" s="0" t="s">
        <v>250</v>
      </c>
      <c r="B11" s="21" t="n">
        <v>0.9</v>
      </c>
      <c r="C11" s="20" t="s">
        <v>251</v>
      </c>
    </row>
    <row r="12" customFormat="false" ht="15" hidden="false" customHeight="false" outlineLevel="0" collapsed="false">
      <c r="A12" s="0" t="s">
        <v>252</v>
      </c>
      <c r="B12" s="21" t="n">
        <v>0.9</v>
      </c>
    </row>
    <row r="14" customFormat="false" ht="15" hidden="false" customHeight="false" outlineLevel="0" collapsed="false">
      <c r="A14" s="7" t="s">
        <v>253</v>
      </c>
    </row>
    <row r="15" customFormat="false" ht="23.85" hidden="false" customHeight="false" outlineLevel="0" collapsed="false">
      <c r="A15" s="3" t="s">
        <v>254</v>
      </c>
      <c r="B15" s="3" t="s">
        <v>255</v>
      </c>
      <c r="C15" s="3" t="s">
        <v>256</v>
      </c>
      <c r="D15" s="3" t="s">
        <v>257</v>
      </c>
      <c r="E15" s="3" t="s">
        <v>258</v>
      </c>
      <c r="F15" s="3" t="s">
        <v>259</v>
      </c>
      <c r="G15" s="3"/>
      <c r="H15" s="3" t="s">
        <v>260</v>
      </c>
    </row>
    <row r="16" customFormat="false" ht="15" hidden="false" customHeight="false" outlineLevel="0" collapsed="false">
      <c r="A16" s="2" t="s">
        <v>261</v>
      </c>
      <c r="B16" s="22" t="s">
        <v>262</v>
      </c>
      <c r="C16" s="19" t="n">
        <f aca="false">FORECAST(B8,C3:C7,B3:B7)</f>
        <v>57100</v>
      </c>
      <c r="D16" s="23" t="n">
        <v>0.15</v>
      </c>
      <c r="E16" s="19" t="n">
        <f aca="false">C16*D16</f>
        <v>8565</v>
      </c>
      <c r="F16" s="24" t="n">
        <f aca="false">FORECAST(B7,C3:C6,B3:B6)/C7-1</f>
        <v>-0.0357142857142857</v>
      </c>
      <c r="H16" s="9" t="s">
        <v>263</v>
      </c>
    </row>
    <row r="17" customFormat="false" ht="15" hidden="false" customHeight="false" outlineLevel="0" collapsed="false">
      <c r="A17" s="2" t="s">
        <v>264</v>
      </c>
      <c r="B17" s="22" t="s">
        <v>265</v>
      </c>
      <c r="C17" s="19" t="n">
        <f aca="false">EXP(FORECAST(B8,D3:D7,B3:B7))</f>
        <v>57262.2894102869</v>
      </c>
      <c r="D17" s="23" t="n">
        <v>0.15</v>
      </c>
      <c r="E17" s="19" t="n">
        <f aca="false">C17*D17</f>
        <v>8589.34341154303</v>
      </c>
      <c r="F17" s="24" t="n">
        <f aca="false">EXP(FORECAST(B7,D3:D6,B3:B6))/C7-1</f>
        <v>-0.0349435511867271</v>
      </c>
      <c r="H17" s="9" t="s">
        <v>266</v>
      </c>
    </row>
    <row r="18" customFormat="false" ht="15" hidden="false" customHeight="false" outlineLevel="0" collapsed="false">
      <c r="A18" s="2" t="s">
        <v>267</v>
      </c>
      <c r="B18" s="22" t="s">
        <v>268</v>
      </c>
      <c r="C18" s="19" t="n">
        <f aca="false">FORECAST(B8,C5:C7,B5:B7)</f>
        <v>59166.6666666667</v>
      </c>
      <c r="D18" s="23" t="n">
        <v>0.25</v>
      </c>
      <c r="E18" s="19" t="n">
        <f aca="false">C18*D18</f>
        <v>14791.6666666667</v>
      </c>
      <c r="F18" s="24" t="n">
        <f aca="false">FORECAST(B7,C4:C6,B4:B6)/C7-1</f>
        <v>-0.00595238095238104</v>
      </c>
      <c r="H18" s="9" t="s">
        <v>269</v>
      </c>
    </row>
    <row r="19" customFormat="false" ht="15" hidden="false" customHeight="false" outlineLevel="0" collapsed="false">
      <c r="A19" s="2" t="s">
        <v>270</v>
      </c>
      <c r="B19" s="22" t="s">
        <v>271</v>
      </c>
      <c r="C19" s="19" t="n">
        <f aca="false">EXP(FORECAST(B8,D5:D7,B5:B7))</f>
        <v>59482.4197196156</v>
      </c>
      <c r="D19" s="23" t="n">
        <v>0.2</v>
      </c>
      <c r="E19" s="19" t="n">
        <f aca="false">C19*D19</f>
        <v>11896.4839439231</v>
      </c>
      <c r="F19" s="25" t="s">
        <v>272</v>
      </c>
      <c r="H19" s="9" t="s">
        <v>273</v>
      </c>
    </row>
    <row r="20" customFormat="false" ht="15" hidden="false" customHeight="false" outlineLevel="0" collapsed="false">
      <c r="A20" s="2" t="s">
        <v>274</v>
      </c>
      <c r="B20" s="22" t="s">
        <v>275</v>
      </c>
      <c r="C20" s="19" t="n">
        <f aca="false">G8</f>
        <v>58889.022</v>
      </c>
      <c r="D20" s="23" t="n">
        <v>0.25</v>
      </c>
      <c r="E20" s="19" t="n">
        <f aca="false">C20*D20</f>
        <v>14722.2555</v>
      </c>
      <c r="F20" s="25" t="s">
        <v>272</v>
      </c>
      <c r="H20" s="9" t="s">
        <v>276</v>
      </c>
    </row>
    <row r="22" customFormat="false" ht="15" hidden="false" customHeight="false" outlineLevel="0" collapsed="false">
      <c r="A22" s="0" t="s">
        <v>277</v>
      </c>
      <c r="C22" s="19" t="n">
        <f aca="false">SLOPE(C3:C7,B3:B7)</f>
        <v>1900</v>
      </c>
    </row>
    <row r="23" customFormat="false" ht="15" hidden="false" customHeight="false" outlineLevel="0" collapsed="false">
      <c r="A23" s="0" t="s">
        <v>278</v>
      </c>
      <c r="C23" s="24" t="n">
        <f aca="false">EXP(SLOPE(D3:D7,B3:B7))-1</f>
        <v>0.037193039828846</v>
      </c>
    </row>
    <row r="24" customFormat="false" ht="15" hidden="false" customHeight="false" outlineLevel="0" collapsed="false">
      <c r="A24" s="1" t="s">
        <v>279</v>
      </c>
      <c r="C24" s="26" t="n">
        <f aca="false">SUM(E16:E20)</f>
        <v>58564.7495221328</v>
      </c>
    </row>
    <row r="25" customFormat="false" ht="15" hidden="false" customHeight="false" outlineLevel="0" collapsed="false">
      <c r="A25" s="0" t="s">
        <v>280</v>
      </c>
      <c r="C25" s="27" t="n">
        <f aca="false">SUM(D16:D20)</f>
        <v>1</v>
      </c>
    </row>
    <row r="27" customFormat="false" ht="15" hidden="false" customHeight="false" outlineLevel="0" collapsed="false">
      <c r="A27" s="7" t="s">
        <v>281</v>
      </c>
    </row>
    <row r="28" customFormat="false" ht="15" hidden="false" customHeight="false" outlineLevel="0" collapsed="false">
      <c r="A28" s="0" t="s">
        <v>282</v>
      </c>
      <c r="C28" s="19" t="n">
        <f aca="false">STEYX(C3:C7,B3:B7)</f>
        <v>1366.26010212795</v>
      </c>
    </row>
    <row r="29" customFormat="false" ht="15" hidden="false" customHeight="false" outlineLevel="0" collapsed="false">
      <c r="A29" s="0" t="s">
        <v>283</v>
      </c>
      <c r="C29" s="19" t="n">
        <f aca="false">C28*SQRT(1+1/5+(B8-AVERAGE(B3:B7))^2/DEVSQ(B3:B7))</f>
        <v>1979.89898732233</v>
      </c>
    </row>
    <row r="30" customFormat="false" ht="15" hidden="false" customHeight="false" outlineLevel="0" collapsed="false">
      <c r="A30" s="0" t="s">
        <v>284</v>
      </c>
      <c r="C30" s="28" t="n">
        <f aca="false">TINV(0.2,3)</f>
        <v>1.63774435369621</v>
      </c>
    </row>
    <row r="31" customFormat="false" ht="15" hidden="false" customHeight="false" outlineLevel="0" collapsed="false">
      <c r="A31" s="0" t="s">
        <v>285</v>
      </c>
      <c r="C31" s="19" t="n">
        <f aca="false">C16-C30*C29</f>
        <v>53857.431612624</v>
      </c>
    </row>
    <row r="32" customFormat="false" ht="15" hidden="false" customHeight="false" outlineLevel="0" collapsed="false">
      <c r="A32" s="0" t="s">
        <v>286</v>
      </c>
      <c r="C32" s="19" t="n">
        <f aca="false">C16+C30*C29</f>
        <v>60342.568387376</v>
      </c>
    </row>
    <row r="33" customFormat="false" ht="15" hidden="false" customHeight="false" outlineLevel="0" collapsed="false">
      <c r="A33" s="20" t="s">
        <v>287</v>
      </c>
    </row>
    <row r="35" customFormat="false" ht="15" hidden="false" customHeight="false" outlineLevel="0" collapsed="false">
      <c r="A35" s="0" t="s">
        <v>288</v>
      </c>
    </row>
    <row r="36" customFormat="false" ht="15" hidden="false" customHeight="false" outlineLevel="0" collapsed="false">
      <c r="A36" s="3" t="s">
        <v>230</v>
      </c>
      <c r="B36" s="3" t="s">
        <v>232</v>
      </c>
    </row>
    <row r="37" customFormat="false" ht="15" hidden="false" customHeight="false" outlineLevel="0" collapsed="false">
      <c r="A37" s="0" t="str">
        <f aca="false">A3</f>
        <v>2021</v>
      </c>
      <c r="B37" s="19" t="n">
        <f aca="false">C3</f>
        <v>49000</v>
      </c>
    </row>
    <row r="38" customFormat="false" ht="15" hidden="false" customHeight="false" outlineLevel="0" collapsed="false">
      <c r="A38" s="0" t="str">
        <f aca="false">A4</f>
        <v>2022</v>
      </c>
      <c r="B38" s="19" t="n">
        <f aca="false">C4</f>
        <v>48500</v>
      </c>
    </row>
    <row r="39" customFormat="false" ht="15" hidden="false" customHeight="false" outlineLevel="0" collapsed="false">
      <c r="A39" s="0" t="str">
        <f aca="false">A5</f>
        <v>2023</v>
      </c>
      <c r="B39" s="19" t="n">
        <f aca="false">C5</f>
        <v>50000</v>
      </c>
    </row>
    <row r="40" customFormat="false" ht="15" hidden="false" customHeight="false" outlineLevel="0" collapsed="false">
      <c r="A40" s="0" t="str">
        <f aca="false">A6</f>
        <v>2024</v>
      </c>
      <c r="B40" s="19" t="n">
        <f aca="false">C6</f>
        <v>53500</v>
      </c>
    </row>
    <row r="41" customFormat="false" ht="15" hidden="false" customHeight="false" outlineLevel="0" collapsed="false">
      <c r="A41" s="0" t="str">
        <f aca="false">A7</f>
        <v>2025</v>
      </c>
      <c r="B41" s="19" t="n">
        <f aca="false">C7</f>
        <v>56000</v>
      </c>
    </row>
    <row r="42" customFormat="false" ht="15" hidden="false" customHeight="false" outlineLevel="0" collapsed="false">
      <c r="A42" s="0" t="s">
        <v>289</v>
      </c>
      <c r="B42" s="19" t="n">
        <f aca="false">C24</f>
        <v>58564.7495221328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7" t="s">
        <v>290</v>
      </c>
    </row>
    <row r="2" customFormat="false" ht="15" hidden="false" customHeight="false" outlineLevel="0" collapsed="false">
      <c r="A2" s="3" t="s">
        <v>291</v>
      </c>
      <c r="B2" s="3" t="s">
        <v>292</v>
      </c>
      <c r="C2" s="3" t="s">
        <v>293</v>
      </c>
      <c r="D2" s="3" t="s">
        <v>294</v>
      </c>
      <c r="E2" s="3" t="s">
        <v>295</v>
      </c>
      <c r="F2" s="3" t="s">
        <v>237</v>
      </c>
    </row>
    <row r="3" customFormat="false" ht="15" hidden="false" customHeight="false" outlineLevel="0" collapsed="false">
      <c r="A3" s="0" t="s">
        <v>296</v>
      </c>
      <c r="B3" s="29" t="n">
        <f aca="false">PopLocal</f>
        <v>500000</v>
      </c>
      <c r="C3" s="27" t="n">
        <f aca="false">1-OuterShare-BeyondShare</f>
        <v>0.7</v>
      </c>
      <c r="D3" s="19" t="n">
        <f aca="false">Att2025*C3</f>
        <v>39200</v>
      </c>
      <c r="E3" s="30" t="n">
        <f aca="false">D3/B3</f>
        <v>0.0784</v>
      </c>
    </row>
    <row r="4" customFormat="false" ht="15" hidden="false" customHeight="false" outlineLevel="0" collapsed="false">
      <c r="A4" s="0" t="s">
        <v>297</v>
      </c>
      <c r="B4" s="29" t="n">
        <f aca="false">PopOuter</f>
        <v>700000</v>
      </c>
      <c r="C4" s="31" t="n">
        <f aca="false">OuterShare</f>
        <v>0.25</v>
      </c>
      <c r="D4" s="19" t="n">
        <f aca="false">Att2025*C4</f>
        <v>14000</v>
      </c>
      <c r="E4" s="30" t="n">
        <f aca="false">D4/B4</f>
        <v>0.02</v>
      </c>
    </row>
    <row r="5" customFormat="false" ht="15" hidden="false" customHeight="false" outlineLevel="0" collapsed="false">
      <c r="A5" s="0" t="s">
        <v>298</v>
      </c>
      <c r="C5" s="31" t="n">
        <f aca="false">BeyondShare</f>
        <v>0.05</v>
      </c>
      <c r="D5" s="19" t="n">
        <f aca="false">Att2025*C5</f>
        <v>2800</v>
      </c>
    </row>
    <row r="6" customFormat="false" ht="15" hidden="false" customHeight="false" outlineLevel="0" collapsed="false">
      <c r="A6" s="0" t="s">
        <v>299</v>
      </c>
      <c r="E6" s="32" t="n">
        <f aca="false">E4/E3</f>
        <v>0.255102040816327</v>
      </c>
      <c r="F6" s="9" t="s">
        <v>300</v>
      </c>
    </row>
    <row r="8" customFormat="false" ht="15" hidden="false" customHeight="false" outlineLevel="0" collapsed="false">
      <c r="A8" s="7" t="s">
        <v>301</v>
      </c>
    </row>
    <row r="9" customFormat="false" ht="15" hidden="false" customHeight="false" outlineLevel="0" collapsed="false">
      <c r="A9" s="3" t="s">
        <v>302</v>
      </c>
      <c r="B9" s="3" t="s">
        <v>303</v>
      </c>
    </row>
    <row r="10" customFormat="false" ht="15" hidden="false" customHeight="false" outlineLevel="0" collapsed="false">
      <c r="A10" s="33" t="n">
        <v>1</v>
      </c>
      <c r="B10" s="32" t="n">
        <f aca="false">(DistOuter/DistLocal)^(-A10)</f>
        <v>0.266666666666667</v>
      </c>
    </row>
    <row r="11" customFormat="false" ht="15" hidden="false" customHeight="false" outlineLevel="0" collapsed="false">
      <c r="A11" s="33" t="n">
        <v>1.5</v>
      </c>
      <c r="B11" s="32" t="n">
        <f aca="false">(DistOuter/DistLocal)^(-A11)</f>
        <v>0.137706074531819</v>
      </c>
    </row>
    <row r="12" customFormat="false" ht="15" hidden="false" customHeight="false" outlineLevel="0" collapsed="false">
      <c r="A12" s="33" t="n">
        <v>2</v>
      </c>
      <c r="B12" s="32" t="n">
        <f aca="false">(DistOuter/DistLocal)^(-A12)</f>
        <v>0.0711111111111111</v>
      </c>
    </row>
    <row r="14" customFormat="false" ht="15" hidden="false" customHeight="false" outlineLevel="0" collapsed="false">
      <c r="A14" s="7" t="s">
        <v>304</v>
      </c>
    </row>
    <row r="15" customFormat="false" ht="15" hidden="false" customHeight="false" outlineLevel="0" collapsed="false">
      <c r="A15" s="2" t="s">
        <v>305</v>
      </c>
      <c r="B15" s="30" t="n">
        <f aca="false">E3/(AwareLocal*AwareLiftX+(1-AwareLocal))</f>
        <v>0.0448</v>
      </c>
      <c r="F15" s="9" t="s">
        <v>306</v>
      </c>
    </row>
    <row r="16" customFormat="false" ht="15" hidden="false" customHeight="false" outlineLevel="0" collapsed="false">
      <c r="A16" s="2" t="s">
        <v>307</v>
      </c>
      <c r="B16" s="30" t="n">
        <f aca="false">B15*AwareLiftX</f>
        <v>0.0896</v>
      </c>
      <c r="F16" s="9"/>
    </row>
    <row r="17" customFormat="false" ht="15" hidden="false" customHeight="false" outlineLevel="0" collapsed="false">
      <c r="A17" s="2" t="s">
        <v>308</v>
      </c>
      <c r="B17" s="32" t="n">
        <f aca="false">E4/(AwareOuter*B16+(1-AwareOuter)*B15)</f>
        <v>0.343406593406593</v>
      </c>
      <c r="F17" s="9" t="s">
        <v>309</v>
      </c>
    </row>
    <row r="18" customFormat="false" ht="15" hidden="false" customHeight="false" outlineLevel="0" collapsed="false">
      <c r="A18" s="2" t="s">
        <v>310</v>
      </c>
      <c r="B18" s="27" t="n">
        <f aca="false">MIN(1,AwareOuter+AwareGain)</f>
        <v>0.45</v>
      </c>
      <c r="F18" s="9"/>
    </row>
    <row r="19" customFormat="false" ht="15" hidden="false" customHeight="false" outlineLevel="0" collapsed="false">
      <c r="A19" s="2" t="s">
        <v>311</v>
      </c>
      <c r="B19" s="30" t="n">
        <f aca="false">(B18*B16+(1-B18)*B15)*B17</f>
        <v>0.0223076923076923</v>
      </c>
      <c r="F19" s="9"/>
    </row>
    <row r="20" customFormat="false" ht="15" hidden="false" customHeight="false" outlineLevel="0" collapsed="false">
      <c r="A20" s="2" t="s">
        <v>312</v>
      </c>
      <c r="B20" s="19" t="n">
        <f aca="false">(B19-E4)*PopOuter</f>
        <v>1615.38461538461</v>
      </c>
      <c r="F20" s="9" t="s">
        <v>313</v>
      </c>
    </row>
    <row r="21" customFormat="false" ht="15" hidden="false" customHeight="false" outlineLevel="0" collapsed="false">
      <c r="A21" s="2" t="s">
        <v>314</v>
      </c>
      <c r="B21" s="30" t="n">
        <f aca="false">B16*B17</f>
        <v>0.0307692307692308</v>
      </c>
      <c r="F21" s="9"/>
    </row>
    <row r="22" customFormat="false" ht="15" hidden="false" customHeight="false" outlineLevel="0" collapsed="false">
      <c r="A22" s="2" t="s">
        <v>315</v>
      </c>
      <c r="B22" s="19" t="n">
        <f aca="false">B21*PopOuter</f>
        <v>21538.4615384615</v>
      </c>
      <c r="F22" s="9" t="s">
        <v>316</v>
      </c>
    </row>
    <row r="23" customFormat="false" ht="15" hidden="false" customHeight="false" outlineLevel="0" collapsed="false">
      <c r="A23" s="2" t="s">
        <v>317</v>
      </c>
      <c r="B23" s="19" t="n">
        <f aca="false">B16*PopLocal</f>
        <v>44800</v>
      </c>
      <c r="F23" s="9"/>
    </row>
    <row r="26" customFormat="false" ht="15" hidden="false" customHeight="false" outlineLevel="0" collapsed="false">
      <c r="A26" s="7" t="s">
        <v>318</v>
      </c>
    </row>
    <row r="27" customFormat="false" ht="15" hidden="false" customHeight="false" outlineLevel="0" collapsed="false">
      <c r="A27" s="3" t="s">
        <v>230</v>
      </c>
      <c r="B27" s="3" t="s">
        <v>319</v>
      </c>
      <c r="C27" s="3" t="s">
        <v>320</v>
      </c>
      <c r="D27" s="3" t="s">
        <v>321</v>
      </c>
      <c r="E27" s="3" t="s">
        <v>322</v>
      </c>
    </row>
    <row r="28" customFormat="false" ht="15" hidden="false" customHeight="false" outlineLevel="0" collapsed="false">
      <c r="A28" s="0" t="s">
        <v>247</v>
      </c>
      <c r="B28" s="27" t="n">
        <f aca="false">MIN(1,AwareOuter+(BassP_hi+BassQ*AwareOuter)*(1-AwareOuter))</f>
        <v>0.4498</v>
      </c>
      <c r="C28" s="30" t="n">
        <f aca="false">(B28*$B$16+(1-B28)*$B$15)*$B$17</f>
        <v>0.0223046153846154</v>
      </c>
      <c r="D28" s="19" t="n">
        <f aca="false">C28*PopOuter</f>
        <v>15613.2307692308</v>
      </c>
      <c r="E28" s="34" t="n">
        <f aca="false">D28-$D$4</f>
        <v>1613.23076923077</v>
      </c>
    </row>
    <row r="29" customFormat="false" ht="15" hidden="false" customHeight="false" outlineLevel="0" collapsed="false">
      <c r="A29" s="0" t="s">
        <v>323</v>
      </c>
      <c r="B29" s="27" t="n">
        <f aca="false">MIN(1,B28+(BassP_hi+BassQ*B28)*(1-B28))</f>
        <v>0.5988623848</v>
      </c>
      <c r="C29" s="30" t="n">
        <f aca="false">(B29*$B$16+(1-B29)*$B$15)*$B$17</f>
        <v>0.0245978828430769</v>
      </c>
      <c r="D29" s="19" t="n">
        <f aca="false">C29*PopOuter</f>
        <v>17218.5179901538</v>
      </c>
      <c r="E29" s="34" t="n">
        <f aca="false">D29-$D$4</f>
        <v>3218.51799015385</v>
      </c>
    </row>
    <row r="30" customFormat="false" ht="15" hidden="false" customHeight="false" outlineLevel="0" collapsed="false">
      <c r="A30" s="0" t="s">
        <v>324</v>
      </c>
      <c r="B30" s="27" t="n">
        <f aca="false">MIN(1,B29+(BassP_hi+BassQ*B29)*(1-B29))</f>
        <v>0.73026211329123</v>
      </c>
      <c r="C30" s="30" t="n">
        <f aca="false">(B30*$B$16+(1-B30)*$B$15)*$B$17</f>
        <v>0.0266194171275574</v>
      </c>
      <c r="D30" s="19" t="n">
        <f aca="false">C30*PopOuter</f>
        <v>18633.5919892902</v>
      </c>
      <c r="E30" s="34" t="n">
        <f aca="false">D30-$D$4</f>
        <v>4633.59198929016</v>
      </c>
    </row>
    <row r="31" customFormat="false" ht="15" hidden="false" customHeight="false" outlineLevel="0" collapsed="false">
      <c r="A31" s="0" t="s">
        <v>325</v>
      </c>
      <c r="B31" s="27" t="n">
        <f aca="false">MIN(1,B30+(BassP_hi+BassQ*B30)*(1-B30))</f>
        <v>0.832088058451516</v>
      </c>
      <c r="C31" s="30" t="n">
        <f aca="false">(B31*$B$16+(1-B31)*$B$15)*$B$17</f>
        <v>0.0281859701300233</v>
      </c>
      <c r="D31" s="19" t="n">
        <f aca="false">C31*PopOuter</f>
        <v>19730.1790910163</v>
      </c>
      <c r="E31" s="34" t="n">
        <f aca="false">D31-$D$4</f>
        <v>5730.17909101633</v>
      </c>
    </row>
    <row r="32" customFormat="false" ht="15" hidden="false" customHeight="false" outlineLevel="0" collapsed="false">
      <c r="A32" s="0" t="s">
        <v>326</v>
      </c>
      <c r="B32" s="27" t="n">
        <f aca="false">MIN(1,B31+(BassP_hi+BassQ*B31)*(1-B31))</f>
        <v>0.901971910751248</v>
      </c>
      <c r="C32" s="30" t="n">
        <f aca="false">(B32*$B$16+(1-B32)*$B$15)*$B$17</f>
        <v>0.02926110631925</v>
      </c>
      <c r="D32" s="19" t="n">
        <f aca="false">C32*PopOuter</f>
        <v>20482.774423475</v>
      </c>
      <c r="E32" s="34" t="n">
        <f aca="false">D32-$D$4</f>
        <v>6482.77442347497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6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7" t="s">
        <v>327</v>
      </c>
    </row>
    <row r="2" customFormat="false" ht="15" hidden="false" customHeight="false" outlineLevel="0" collapsed="false">
      <c r="A2" s="0" t="s">
        <v>328</v>
      </c>
      <c r="B2" s="27" t="n">
        <f aca="false">(1+SpendUp)/AudMult-1</f>
        <v>-0.5</v>
      </c>
      <c r="D2" s="9" t="s">
        <v>329</v>
      </c>
    </row>
    <row r="3" customFormat="false" ht="15" hidden="false" customHeight="false" outlineLevel="0" collapsed="false">
      <c r="A3" s="0" t="s">
        <v>330</v>
      </c>
      <c r="B3" s="24" t="n">
        <f aca="false">AdElast*B2</f>
        <v>-0.06</v>
      </c>
      <c r="D3" s="9" t="s">
        <v>331</v>
      </c>
    </row>
    <row r="4" customFormat="false" ht="15" hidden="false" customHeight="false" outlineLevel="0" collapsed="false">
      <c r="A4" s="0" t="s">
        <v>332</v>
      </c>
      <c r="B4" s="19" t="n">
        <f aca="false">B3*Att2025</f>
        <v>-3360</v>
      </c>
      <c r="D4" s="9"/>
    </row>
    <row r="5" customFormat="false" ht="15" hidden="false" customHeight="false" outlineLevel="0" collapsed="false">
      <c r="A5" s="0" t="s">
        <v>333</v>
      </c>
      <c r="B5" s="24" t="n">
        <f aca="false">MktLift</f>
        <v>0.005</v>
      </c>
      <c r="D5" s="9" t="s">
        <v>334</v>
      </c>
    </row>
    <row r="6" customFormat="false" ht="15" hidden="false" customHeight="false" outlineLevel="0" collapsed="false">
      <c r="A6" s="0" t="s">
        <v>335</v>
      </c>
      <c r="B6" s="19" t="n">
        <f aca="false">B5*Att2025</f>
        <v>280</v>
      </c>
      <c r="D6" s="9"/>
    </row>
    <row r="8" customFormat="false" ht="15" hidden="false" customHeight="false" outlineLevel="0" collapsed="false">
      <c r="A8" s="7" t="s">
        <v>336</v>
      </c>
    </row>
    <row r="9" customFormat="false" ht="15" hidden="false" customHeight="false" outlineLevel="0" collapsed="false">
      <c r="A9" s="3" t="s">
        <v>254</v>
      </c>
      <c r="B9" s="3" t="s">
        <v>22</v>
      </c>
      <c r="C9" s="3" t="s">
        <v>24</v>
      </c>
      <c r="D9" s="3" t="s">
        <v>337</v>
      </c>
    </row>
    <row r="10" customFormat="false" ht="15" hidden="false" customHeight="false" outlineLevel="0" collapsed="false">
      <c r="A10" s="0" t="s">
        <v>338</v>
      </c>
      <c r="B10" s="19" t="n">
        <f aca="false">Att2025*SpendUp*AdElast</f>
        <v>1344</v>
      </c>
      <c r="C10" s="19" t="n">
        <f aca="false">Att2025*SpendUp*AdElast_hi</f>
        <v>2688</v>
      </c>
      <c r="D10" s="9" t="s">
        <v>339</v>
      </c>
    </row>
    <row r="11" customFormat="false" ht="15" hidden="false" customHeight="false" outlineLevel="0" collapsed="false">
      <c r="A11" s="0" t="s">
        <v>340</v>
      </c>
      <c r="B11" s="19" t="n">
        <f aca="false">PopOuter*Aware_lo*AwareConv_lo</f>
        <v>1365</v>
      </c>
      <c r="C11" s="19" t="n">
        <f aca="false">PopOuter*Aware*AwareConv</f>
        <v>2975</v>
      </c>
      <c r="D11" s="9" t="s">
        <v>341</v>
      </c>
    </row>
    <row r="12" customFormat="false" ht="15" hidden="false" customHeight="false" outlineLevel="0" collapsed="false">
      <c r="A12" s="0" t="s">
        <v>342</v>
      </c>
      <c r="B12" s="19" t="n">
        <f aca="false">PopOuter*(Att2025/PopLocal)*DistW*BassP</f>
        <v>588</v>
      </c>
      <c r="C12" s="19" t="n">
        <f aca="false">PopOuter*(Att2025/PopLocal)*DistW*BassP_hi</f>
        <v>1960</v>
      </c>
      <c r="D12" s="9" t="s">
        <v>343</v>
      </c>
    </row>
    <row r="13" customFormat="false" ht="15" hidden="false" customHeight="false" outlineLevel="0" collapsed="false">
      <c r="A13" s="0" t="s">
        <v>344</v>
      </c>
      <c r="B13" s="19" t="n">
        <f aca="false">Capture!B20*0.6</f>
        <v>969.230769230767</v>
      </c>
      <c r="C13" s="19" t="n">
        <f aca="false">Capture!B20*1.67</f>
        <v>2697.6923076923</v>
      </c>
      <c r="D13" s="9" t="s">
        <v>345</v>
      </c>
    </row>
    <row r="15" customFormat="false" ht="15" hidden="false" customHeight="false" outlineLevel="0" collapsed="false">
      <c r="A15" s="35" t="s">
        <v>334</v>
      </c>
      <c r="B15" s="36" t="n">
        <f aca="false">ReachAdd</f>
        <v>2000</v>
      </c>
      <c r="D15" s="9" t="s">
        <v>346</v>
      </c>
    </row>
    <row r="17" customFormat="false" ht="15" hidden="false" customHeight="false" outlineLevel="0" collapsed="false">
      <c r="A17" s="0" t="s">
        <v>347</v>
      </c>
      <c r="B17" s="19" t="n">
        <f aca="false">PopOuter*(Att2025/PopLocal)*DistW</f>
        <v>19600</v>
      </c>
    </row>
    <row r="18" customFormat="false" ht="15" hidden="false" customHeight="false" outlineLevel="0" collapsed="false">
      <c r="A18" s="3" t="s">
        <v>348</v>
      </c>
      <c r="B18" s="3" t="s">
        <v>349</v>
      </c>
      <c r="C18" s="3" t="s">
        <v>350</v>
      </c>
      <c r="D18" s="3" t="s">
        <v>351</v>
      </c>
      <c r="E18" s="3" t="s">
        <v>352</v>
      </c>
      <c r="F18" s="3" t="s">
        <v>353</v>
      </c>
    </row>
    <row r="19" customFormat="false" ht="15" hidden="false" customHeight="false" outlineLevel="0" collapsed="false">
      <c r="A19" s="0" t="s">
        <v>354</v>
      </c>
      <c r="B19" s="19" t="n">
        <f aca="false">0+B20</f>
        <v>588</v>
      </c>
      <c r="C19" s="19" t="n">
        <f aca="false">B19+C20</f>
        <v>1375.0968</v>
      </c>
      <c r="D19" s="19" t="n">
        <f aca="false">C19+D20</f>
        <v>2407.72054430813</v>
      </c>
      <c r="E19" s="19" t="n">
        <f aca="false">D19+E20</f>
        <v>3726.02962647905</v>
      </c>
      <c r="F19" s="19" t="n">
        <f aca="false">E19+F20</f>
        <v>5348.97403781754</v>
      </c>
    </row>
    <row r="20" customFormat="false" ht="15" hidden="false" customHeight="false" outlineLevel="0" collapsed="false">
      <c r="A20" s="0" t="s">
        <v>355</v>
      </c>
      <c r="B20" s="19" t="n">
        <f aca="false">(BassP+BassQ*0/$B$17)*($B$17-0)</f>
        <v>588</v>
      </c>
      <c r="C20" s="19" t="n">
        <f aca="false">(BassP+BassQ*B19/$B$17)*($B$17-B19)</f>
        <v>787.0968</v>
      </c>
      <c r="D20" s="19" t="n">
        <f aca="false">(BassP+BassQ*C19/$B$17)*($B$17-C19)</f>
        <v>1032.62374430813</v>
      </c>
      <c r="E20" s="19" t="n">
        <f aca="false">(BassP+BassQ*D19/$B$17)*($B$17-D19)</f>
        <v>1318.30908217092</v>
      </c>
      <c r="F20" s="19" t="n">
        <f aca="false">(BassP+BassQ*E19/$B$17)*($B$17-E19)</f>
        <v>1622.94441133849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7" t="s">
        <v>356</v>
      </c>
    </row>
    <row r="2" customFormat="false" ht="15" hidden="false" customHeight="false" outlineLevel="0" collapsed="false">
      <c r="A2" s="3" t="s">
        <v>357</v>
      </c>
      <c r="B2" s="3" t="s">
        <v>358</v>
      </c>
      <c r="C2" s="3" t="s">
        <v>359</v>
      </c>
      <c r="D2" s="3" t="s">
        <v>360</v>
      </c>
      <c r="E2" s="3" t="s">
        <v>26</v>
      </c>
    </row>
    <row r="3" customFormat="false" ht="15" hidden="false" customHeight="false" outlineLevel="0" collapsed="false">
      <c r="A3" s="0" t="s">
        <v>361</v>
      </c>
      <c r="B3" s="8" t="n">
        <v>16769000</v>
      </c>
      <c r="C3" s="8" t="n">
        <v>18278000</v>
      </c>
      <c r="D3" s="24" t="n">
        <f aca="false">C3/B3-1-0.035</f>
        <v>0.0549874768918838</v>
      </c>
      <c r="E3" s="37" t="s">
        <v>362</v>
      </c>
    </row>
    <row r="4" customFormat="false" ht="15" hidden="false" customHeight="false" outlineLevel="0" collapsed="false">
      <c r="A4" s="0" t="s">
        <v>363</v>
      </c>
      <c r="B4" s="10" t="n">
        <v>0.042</v>
      </c>
      <c r="C4" s="10" t="n">
        <v>0.085</v>
      </c>
      <c r="D4" s="24" t="n">
        <f aca="false">C4-B4</f>
        <v>0.043</v>
      </c>
      <c r="E4" s="37" t="s">
        <v>364</v>
      </c>
    </row>
    <row r="5" customFormat="false" ht="15" hidden="false" customHeight="false" outlineLevel="0" collapsed="false">
      <c r="A5" s="0" t="s">
        <v>365</v>
      </c>
      <c r="B5" s="8" t="n">
        <v>1240000</v>
      </c>
      <c r="C5" s="8" t="n">
        <v>1330000</v>
      </c>
      <c r="D5" s="24" t="n">
        <f aca="false">C5/B5-1</f>
        <v>0.0725806451612903</v>
      </c>
      <c r="E5" s="37" t="s">
        <v>366</v>
      </c>
    </row>
    <row r="6" customFormat="false" ht="15" hidden="false" customHeight="false" outlineLevel="0" collapsed="false">
      <c r="A6" s="0" t="s">
        <v>367</v>
      </c>
      <c r="B6" s="8" t="n">
        <v>18278000</v>
      </c>
      <c r="C6" s="8" t="n">
        <v>17943000</v>
      </c>
      <c r="D6" s="24" t="n">
        <f aca="false">C6/B6-1</f>
        <v>-0.0183280446438341</v>
      </c>
      <c r="E6" s="37" t="s">
        <v>368</v>
      </c>
    </row>
    <row r="7" customFormat="false" ht="15" hidden="false" customHeight="false" outlineLevel="0" collapsed="false">
      <c r="A7" s="0" t="s">
        <v>369</v>
      </c>
      <c r="D7" s="24" t="n">
        <f aca="false">ConcertAdd/Att2025+MktLift</f>
        <v>0.0192857142857143</v>
      </c>
    </row>
    <row r="8" customFormat="false" ht="15" hidden="false" customHeight="false" outlineLevel="0" collapsed="false">
      <c r="A8" s="35" t="s">
        <v>370</v>
      </c>
      <c r="D8" s="38" t="n">
        <f aca="false">AnnivLift</f>
        <v>0.035</v>
      </c>
    </row>
    <row r="10" customFormat="false" ht="15" hidden="false" customHeight="false" outlineLevel="0" collapsed="false">
      <c r="A10" s="7" t="s">
        <v>371</v>
      </c>
    </row>
    <row r="11" customFormat="false" ht="15" hidden="false" customHeight="false" outlineLevel="0" collapsed="false">
      <c r="A11" s="3" t="s">
        <v>372</v>
      </c>
      <c r="B11" s="3" t="s">
        <v>373</v>
      </c>
      <c r="C11" s="3" t="s">
        <v>294</v>
      </c>
      <c r="D11" s="3" t="s">
        <v>374</v>
      </c>
      <c r="E11" s="3" t="s">
        <v>375</v>
      </c>
    </row>
    <row r="12" customFormat="false" ht="15" hidden="false" customHeight="false" outlineLevel="0" collapsed="false">
      <c r="A12" s="0" t="s">
        <v>376</v>
      </c>
      <c r="B12" s="19" t="n">
        <f aca="false">Att2025*(1-RegShare)*10*0.6</f>
        <v>67200</v>
      </c>
      <c r="C12" s="19" t="n">
        <f aca="false">B12*0.03</f>
        <v>2016</v>
      </c>
      <c r="D12" s="24" t="n">
        <f aca="false">C12/Att2025</f>
        <v>0.036</v>
      </c>
      <c r="E12" s="9" t="s">
        <v>377</v>
      </c>
    </row>
    <row r="13" customFormat="false" ht="15" hidden="false" customHeight="false" outlineLevel="0" collapsed="false">
      <c r="A13" s="0" t="s">
        <v>378</v>
      </c>
      <c r="B13" s="19" t="n">
        <f aca="false">PopLocal-Att2025*0.7</f>
        <v>460800</v>
      </c>
      <c r="C13" s="19" t="n">
        <f aca="false">B13*0.2*0.01</f>
        <v>921.6</v>
      </c>
      <c r="D13" s="24" t="n">
        <f aca="false">C13/Att2025</f>
        <v>0.0164571428571429</v>
      </c>
      <c r="E13" s="9" t="s">
        <v>379</v>
      </c>
    </row>
    <row r="14" customFormat="false" ht="15" hidden="false" customHeight="false" outlineLevel="0" collapsed="false">
      <c r="A14" s="0" t="s">
        <v>380</v>
      </c>
      <c r="B14" s="19" t="n">
        <f aca="false">Att2025</f>
        <v>56000</v>
      </c>
      <c r="C14" s="19" t="n">
        <f aca="false">B14*0.01</f>
        <v>560</v>
      </c>
      <c r="D14" s="24" t="n">
        <f aca="false">C14/Att2025</f>
        <v>0.01</v>
      </c>
      <c r="E14" s="9" t="s">
        <v>381</v>
      </c>
    </row>
    <row r="15" customFormat="false" ht="15" hidden="false" customHeight="false" outlineLevel="0" collapsed="false">
      <c r="A15" s="0" t="s">
        <v>382</v>
      </c>
      <c r="B15" s="19" t="n">
        <f aca="false">Att2025*RegShare*0.3</f>
        <v>13440</v>
      </c>
      <c r="C15" s="19" t="n">
        <f aca="false">B15*0.02*5</f>
        <v>1344</v>
      </c>
      <c r="D15" s="24" t="n">
        <f aca="false">C15/Att2025</f>
        <v>0.024</v>
      </c>
      <c r="E15" s="9" t="s">
        <v>383</v>
      </c>
    </row>
    <row r="16" customFormat="false" ht="15" hidden="false" customHeight="false" outlineLevel="0" collapsed="false">
      <c r="A16" s="0" t="s">
        <v>384</v>
      </c>
      <c r="C16" s="19" t="n">
        <f aca="false">SUM(C12:C15)</f>
        <v>4841.6</v>
      </c>
      <c r="D16" s="24" t="n">
        <f aca="false">C16/Att2025</f>
        <v>0.0864571428571428</v>
      </c>
    </row>
    <row r="17" customFormat="false" ht="15" hidden="false" customHeight="false" outlineLevel="0" collapsed="false">
      <c r="A17" s="0" t="s">
        <v>385</v>
      </c>
      <c r="C17" s="19" t="n">
        <f aca="false">C16*0.55</f>
        <v>2662.88</v>
      </c>
      <c r="D17" s="24" t="n">
        <f aca="false">C17/Att2025</f>
        <v>0.0475514285714286</v>
      </c>
      <c r="E17" s="9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7" t="s">
        <v>387</v>
      </c>
    </row>
    <row r="2" customFormat="false" ht="15" hidden="false" customHeight="false" outlineLevel="0" collapsed="false">
      <c r="A2" s="0" t="s">
        <v>388</v>
      </c>
      <c r="B2" s="19" t="n">
        <f aca="false">SpotifyML*(1+AppleRatio)*(1-Overlap)</f>
        <v>9290700</v>
      </c>
      <c r="D2" s="9" t="s">
        <v>389</v>
      </c>
    </row>
    <row r="3" customFormat="false" ht="15" hidden="false" customHeight="false" outlineLevel="0" collapsed="false">
      <c r="A3" s="0" t="s">
        <v>390</v>
      </c>
      <c r="B3" s="19" t="n">
        <f aca="false">PopLocal+PopOuter*DistW</f>
        <v>675000</v>
      </c>
      <c r="D3" s="9" t="s">
        <v>391</v>
      </c>
    </row>
    <row r="4" customFormat="false" ht="15" hidden="false" customHeight="false" outlineLevel="0" collapsed="false">
      <c r="A4" s="0" t="s">
        <v>392</v>
      </c>
      <c r="B4" s="19" t="n">
        <f aca="false">B2*USShare*(B3/USPop)*Affinity</f>
        <v>11066.8632352941</v>
      </c>
      <c r="D4" s="9" t="s">
        <v>393</v>
      </c>
    </row>
    <row r="5" customFormat="false" ht="15" hidden="false" customHeight="false" outlineLevel="0" collapsed="false">
      <c r="A5" s="0" t="s">
        <v>394</v>
      </c>
      <c r="B5" s="19" t="n">
        <f aca="false">B4*ConvFree*Engage</f>
        <v>1106.68632352941</v>
      </c>
      <c r="D5" s="9" t="s">
        <v>395</v>
      </c>
    </row>
    <row r="6" customFormat="false" ht="15" hidden="false" customHeight="false" outlineLevel="0" collapsed="false">
      <c r="A6" s="0" t="s">
        <v>396</v>
      </c>
      <c r="B6" s="19" t="n">
        <f aca="false">B5*FanRegular*ShowUp</f>
        <v>77.4680426470588</v>
      </c>
      <c r="D6" s="9"/>
    </row>
    <row r="7" customFormat="false" ht="15" hidden="false" customHeight="false" outlineLevel="0" collapsed="false">
      <c r="A7" s="35" t="s">
        <v>397</v>
      </c>
      <c r="B7" s="39" t="n">
        <f aca="false">B5*(1-FanRegular)*ShowUp</f>
        <v>697.212383823529</v>
      </c>
      <c r="D7" s="9" t="s">
        <v>398</v>
      </c>
    </row>
    <row r="8" customFormat="false" ht="15" hidden="false" customHeight="false" outlineLevel="0" collapsed="false">
      <c r="A8" s="0" t="s">
        <v>399</v>
      </c>
      <c r="B8" s="19" t="n">
        <f aca="false">Weekends!C9*Casual</f>
        <v>3371.5</v>
      </c>
      <c r="D8" s="9" t="s">
        <v>400</v>
      </c>
    </row>
    <row r="9" customFormat="false" ht="15" hidden="false" customHeight="false" outlineLevel="0" collapsed="false">
      <c r="A9" s="0" t="s">
        <v>401</v>
      </c>
      <c r="B9" s="19" t="n">
        <f aca="false">B8+B6+B7</f>
        <v>4146.18042647059</v>
      </c>
      <c r="D9" s="9"/>
    </row>
    <row r="10" customFormat="false" ht="15" hidden="false" customHeight="false" outlineLevel="0" collapsed="false">
      <c r="A10" s="0" t="s">
        <v>402</v>
      </c>
      <c r="B10" s="19" t="n">
        <f aca="false">MAX(0,B9-ConcertCap)</f>
        <v>0</v>
      </c>
      <c r="D10" s="9"/>
    </row>
    <row r="11" customFormat="false" ht="15" hidden="false" customHeight="false" outlineLevel="0" collapsed="false">
      <c r="A11" s="0" t="s">
        <v>403</v>
      </c>
      <c r="B11" s="19" t="n">
        <f aca="false">ConcertCap/(1-NoShow)</f>
        <v>16000</v>
      </c>
      <c r="D11" s="9" t="s">
        <v>404</v>
      </c>
    </row>
    <row r="13" customFormat="false" ht="15" hidden="false" customHeight="false" outlineLevel="0" collapsed="false">
      <c r="A13" s="7" t="s">
        <v>405</v>
      </c>
    </row>
    <row r="14" customFormat="false" ht="23.85" hidden="false" customHeight="false" outlineLevel="0" collapsed="false">
      <c r="A14" s="3" t="s">
        <v>406</v>
      </c>
      <c r="B14" s="3" t="s">
        <v>392</v>
      </c>
      <c r="C14" s="3" t="s">
        <v>397</v>
      </c>
      <c r="D14" s="3" t="s">
        <v>407</v>
      </c>
    </row>
    <row r="15" customFormat="false" ht="15" hidden="false" customHeight="false" outlineLevel="0" collapsed="false">
      <c r="A15" s="8" t="n">
        <v>1000000</v>
      </c>
      <c r="B15" s="19" t="n">
        <f aca="false">A15*USShare*($B$3/USPop)*Affinity</f>
        <v>1191.17647058824</v>
      </c>
      <c r="C15" s="19" t="n">
        <f aca="false">B15*ConvFree*Engage*(1-FanRegular)*ShowUp</f>
        <v>75.0441176470588</v>
      </c>
      <c r="D15" s="19" t="n">
        <f aca="false">B15*ConvFree*Engage*FanRegular*ShowUp</f>
        <v>8.33823529411765</v>
      </c>
    </row>
    <row r="16" customFormat="false" ht="15" hidden="false" customHeight="false" outlineLevel="0" collapsed="false">
      <c r="A16" s="8" t="n">
        <v>5000000</v>
      </c>
      <c r="B16" s="19" t="n">
        <f aca="false">A16*USShare*($B$3/USPop)*Affinity</f>
        <v>5955.88235294118</v>
      </c>
      <c r="C16" s="19" t="n">
        <f aca="false">B16*ConvFree*Engage*(1-FanRegular)*ShowUp</f>
        <v>375.220588235294</v>
      </c>
      <c r="D16" s="19" t="n">
        <f aca="false">B16*ConvFree*Engage*FanRegular*ShowUp</f>
        <v>41.6911764705882</v>
      </c>
    </row>
    <row r="17" customFormat="false" ht="15" hidden="false" customHeight="false" outlineLevel="0" collapsed="false">
      <c r="A17" s="8" t="n">
        <v>10000000</v>
      </c>
      <c r="B17" s="19" t="n">
        <f aca="false">A17*USShare*($B$3/USPop)*Affinity</f>
        <v>11911.7647058824</v>
      </c>
      <c r="C17" s="19" t="n">
        <f aca="false">B17*ConvFree*Engage*(1-FanRegular)*ShowUp</f>
        <v>750.441176470588</v>
      </c>
      <c r="D17" s="19" t="n">
        <f aca="false">B17*ConvFree*Engage*FanRegular*ShowUp</f>
        <v>83.3823529411765</v>
      </c>
    </row>
    <row r="18" customFormat="false" ht="15" hidden="false" customHeight="false" outlineLevel="0" collapsed="false">
      <c r="A18" s="8" t="n">
        <v>20000000</v>
      </c>
      <c r="B18" s="19" t="n">
        <f aca="false">A18*USShare*($B$3/USPop)*Affinity</f>
        <v>23823.5294117647</v>
      </c>
      <c r="C18" s="19" t="n">
        <f aca="false">B18*ConvFree*Engage*(1-FanRegular)*ShowUp</f>
        <v>1500.88235294118</v>
      </c>
      <c r="D18" s="19" t="n">
        <f aca="false">B18*ConvFree*Engage*FanRegular*ShowUp</f>
        <v>166.764705882353</v>
      </c>
    </row>
    <row r="19" customFormat="false" ht="15" hidden="false" customHeight="false" outlineLevel="0" collapsed="false">
      <c r="A19" s="8" t="n">
        <v>40000000</v>
      </c>
      <c r="B19" s="19" t="n">
        <f aca="false">A19*USShare*($B$3/USPop)*Affinity</f>
        <v>47647.0588235294</v>
      </c>
      <c r="C19" s="19" t="n">
        <f aca="false">B19*ConvFree*Engage*(1-FanRegular)*ShowUp</f>
        <v>3001.76470588235</v>
      </c>
      <c r="D19" s="19" t="n">
        <f aca="false">B19*ConvFree*Engage*FanRegular*ShowUp</f>
        <v>333.529411764706</v>
      </c>
    </row>
    <row r="21" customFormat="false" ht="15" hidden="false" customHeight="false" outlineLevel="0" collapsed="false">
      <c r="A21" s="0" t="s">
        <v>408</v>
      </c>
      <c r="B21" s="19" t="n">
        <f aca="false">2000/C17*A17</f>
        <v>26650989.6139526</v>
      </c>
    </row>
    <row r="22" customFormat="false" ht="15" hidden="false" customHeight="false" outlineLevel="0" collapsed="false">
      <c r="A22" s="0" t="s">
        <v>409</v>
      </c>
      <c r="B22" s="19" t="n">
        <f aca="false">(Weekends!C8-Weekends!C9+ConcertShift)/(C17+D17)*A17</f>
        <v>21086596.1199295</v>
      </c>
      <c r="D22" s="9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7" t="s">
        <v>411</v>
      </c>
    </row>
    <row r="2" customFormat="false" ht="15" hidden="false" customHeight="false" outlineLevel="0" collapsed="false">
      <c r="A2" s="3" t="s">
        <v>412</v>
      </c>
      <c r="B2" s="3" t="s">
        <v>413</v>
      </c>
      <c r="C2" s="3" t="s">
        <v>414</v>
      </c>
      <c r="D2" s="3" t="s">
        <v>26</v>
      </c>
    </row>
    <row r="3" customFormat="false" ht="15" hidden="false" customHeight="false" outlineLevel="0" collapsed="false">
      <c r="A3" s="0" t="s">
        <v>415</v>
      </c>
      <c r="B3" s="16" t="n">
        <v>48.1</v>
      </c>
      <c r="C3" s="16" t="n">
        <v>55.1</v>
      </c>
      <c r="D3" s="9" t="s">
        <v>416</v>
      </c>
    </row>
    <row r="4" customFormat="false" ht="15" hidden="false" customHeight="false" outlineLevel="0" collapsed="false">
      <c r="A4" s="0" t="s">
        <v>417</v>
      </c>
      <c r="B4" s="10" t="n">
        <v>0.046</v>
      </c>
      <c r="C4" s="10" t="n">
        <v>0.036</v>
      </c>
      <c r="D4" s="9" t="s">
        <v>418</v>
      </c>
    </row>
    <row r="5" customFormat="false" ht="15" hidden="false" customHeight="false" outlineLevel="0" collapsed="false">
      <c r="A5" s="0" t="s">
        <v>419</v>
      </c>
      <c r="B5" s="16" t="n">
        <v>4.49</v>
      </c>
      <c r="C5" s="16" t="n">
        <v>3.6</v>
      </c>
      <c r="D5" s="9" t="s">
        <v>420</v>
      </c>
    </row>
    <row r="6" customFormat="false" ht="15" hidden="false" customHeight="false" outlineLevel="0" collapsed="false">
      <c r="A6" s="0" t="s">
        <v>421</v>
      </c>
      <c r="B6" s="10" t="n">
        <v>0.041</v>
      </c>
      <c r="C6" s="10" t="n">
        <v>0.042</v>
      </c>
      <c r="D6" s="9" t="s">
        <v>422</v>
      </c>
    </row>
    <row r="7" customFormat="false" ht="15" hidden="false" customHeight="false" outlineLevel="0" collapsed="false">
      <c r="A7" s="0" t="s">
        <v>423</v>
      </c>
      <c r="B7" s="10" t="n">
        <v>0.06</v>
      </c>
      <c r="D7" s="9" t="s">
        <v>424</v>
      </c>
    </row>
    <row r="9" customFormat="false" ht="15" hidden="false" customHeight="false" outlineLevel="0" collapsed="false">
      <c r="A9" s="7" t="s">
        <v>425</v>
      </c>
    </row>
    <row r="10" customFormat="false" ht="15" hidden="false" customHeight="false" outlineLevel="0" collapsed="false">
      <c r="A10" s="0" t="s">
        <v>426</v>
      </c>
      <c r="B10" s="24" t="n">
        <f aca="false">GasNow/GasPrior-1</f>
        <v>0.247222222222222</v>
      </c>
      <c r="D10" s="9" t="s">
        <v>427</v>
      </c>
    </row>
    <row r="11" customFormat="false" ht="15" hidden="false" customHeight="false" outlineLevel="0" collapsed="false">
      <c r="A11" s="0" t="s">
        <v>428</v>
      </c>
      <c r="B11" s="40" t="n">
        <f aca="false">90/25*GasNow-90/25*GasPrior</f>
        <v>3.204</v>
      </c>
      <c r="D11" s="9" t="s">
        <v>429</v>
      </c>
    </row>
    <row r="12" customFormat="false" ht="15" hidden="false" customHeight="false" outlineLevel="0" collapsed="false">
      <c r="A12" s="0" t="s">
        <v>430</v>
      </c>
      <c r="B12" s="24" t="n">
        <f aca="false">TripElast*B10</f>
        <v>-0.0494444444444445</v>
      </c>
      <c r="D12" s="9" t="s">
        <v>431</v>
      </c>
    </row>
    <row r="13" customFormat="false" ht="15" hidden="false" customHeight="false" outlineLevel="0" collapsed="false">
      <c r="A13" s="0" t="s">
        <v>432</v>
      </c>
      <c r="B13" s="19" t="n">
        <f aca="false">B12*Att2025*OuterShare</f>
        <v>-692.222222222222</v>
      </c>
      <c r="D13" s="9"/>
    </row>
    <row r="14" customFormat="false" ht="15" hidden="false" customHeight="false" outlineLevel="0" collapsed="false">
      <c r="A14" s="0" t="s">
        <v>433</v>
      </c>
      <c r="B14" s="24" t="n">
        <f aca="false">Stay</f>
        <v>0.01</v>
      </c>
      <c r="D14" s="9" t="s">
        <v>434</v>
      </c>
    </row>
    <row r="15" customFormat="false" ht="15" hidden="false" customHeight="false" outlineLevel="0" collapsed="false">
      <c r="A15" s="0" t="s">
        <v>435</v>
      </c>
      <c r="B15" s="19" t="n">
        <f aca="false">B14*Att2025*(1-OuterShare-BeyondShare)</f>
        <v>392</v>
      </c>
      <c r="D15" s="9"/>
    </row>
    <row r="16" customFormat="false" ht="15" hidden="false" customHeight="false" outlineLevel="0" collapsed="false">
      <c r="A16" s="0" t="s">
        <v>223</v>
      </c>
      <c r="B16" s="24" t="n">
        <f aca="false">SentDrag</f>
        <v>-0.003</v>
      </c>
      <c r="D16" s="9" t="s">
        <v>436</v>
      </c>
    </row>
    <row r="17" customFormat="false" ht="15" hidden="false" customHeight="false" outlineLevel="0" collapsed="false">
      <c r="A17" s="0" t="s">
        <v>437</v>
      </c>
      <c r="B17" s="19" t="n">
        <f aca="false">B16*Att2025</f>
        <v>-168</v>
      </c>
      <c r="D17" s="9"/>
    </row>
    <row r="18" customFormat="false" ht="15" hidden="false" customHeight="false" outlineLevel="0" collapsed="false">
      <c r="A18" s="0" t="s">
        <v>438</v>
      </c>
      <c r="B18" s="19" t="n">
        <f aca="false">B13+B15+B17</f>
        <v>-468.222222222222</v>
      </c>
      <c r="D18" s="9"/>
    </row>
    <row r="19" customFormat="false" ht="15" hidden="false" customHeight="false" outlineLevel="0" collapsed="false">
      <c r="A19" s="0" t="s">
        <v>225</v>
      </c>
      <c r="B19" s="24" t="n">
        <f aca="false">PerCap</f>
        <v>-0.04</v>
      </c>
      <c r="D19" s="9" t="s">
        <v>439</v>
      </c>
    </row>
    <row r="20" customFormat="false" ht="15" hidden="false" customHeight="false" outlineLevel="0" collapsed="false">
      <c r="A20" s="0" t="s">
        <v>227</v>
      </c>
      <c r="B20" s="24" t="n">
        <f aca="false">Escalator</f>
        <v>0.046</v>
      </c>
      <c r="D20" s="9" t="s">
        <v>440</v>
      </c>
    </row>
    <row r="23" customFormat="false" ht="15" hidden="false" customHeight="false" outlineLevel="0" collapsed="false">
      <c r="A23" s="35" t="s">
        <v>119</v>
      </c>
    </row>
    <row r="24" customFormat="false" ht="15" hidden="false" customHeight="false" outlineLevel="0" collapsed="false">
      <c r="A24" s="0" t="s">
        <v>441</v>
      </c>
      <c r="B24" s="41" t="n">
        <f aca="false">(1-OuterShare-BeyondShare)*Stay+OuterShare*B12+SentDrag</f>
        <v>-0.00836111111111111</v>
      </c>
      <c r="D24" s="9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7" t="s">
        <v>443</v>
      </c>
    </row>
    <row r="2" customFormat="false" ht="15" hidden="false" customHeight="false" outlineLevel="0" collapsed="false">
      <c r="A2" s="3" t="s">
        <v>444</v>
      </c>
      <c r="B2" s="3" t="s">
        <v>354</v>
      </c>
      <c r="C2" s="3" t="s">
        <v>445</v>
      </c>
      <c r="D2" s="3"/>
      <c r="E2" s="3" t="s">
        <v>337</v>
      </c>
    </row>
    <row r="3" customFormat="false" ht="15" hidden="false" customHeight="false" outlineLevel="0" collapsed="false">
      <c r="A3" s="2" t="s">
        <v>446</v>
      </c>
      <c r="B3" s="19" t="n">
        <f aca="false">Att2025</f>
        <v>56000</v>
      </c>
      <c r="E3" s="9" t="s">
        <v>126</v>
      </c>
    </row>
    <row r="4" customFormat="false" ht="15" hidden="false" customHeight="false" outlineLevel="0" collapsed="false">
      <c r="A4" s="2" t="s">
        <v>447</v>
      </c>
      <c r="B4" s="19" t="n">
        <f aca="false">Base2026</f>
        <v>58564.7495221328</v>
      </c>
      <c r="C4" s="34" t="n">
        <f aca="false">B4-B3</f>
        <v>2564.74952213281</v>
      </c>
      <c r="E4" s="9" t="s">
        <v>448</v>
      </c>
    </row>
    <row r="5" customFormat="false" ht="15" hidden="false" customHeight="false" outlineLevel="0" collapsed="false">
      <c r="A5" s="2" t="s">
        <v>449</v>
      </c>
      <c r="B5" s="19" t="n">
        <f aca="false">B4*(1+MktLift)</f>
        <v>58857.5732697435</v>
      </c>
      <c r="C5" s="34" t="n">
        <f aca="false">B5-B4</f>
        <v>292.823747610659</v>
      </c>
      <c r="E5" s="9" t="s">
        <v>450</v>
      </c>
    </row>
    <row r="6" customFormat="false" ht="15" hidden="false" customHeight="false" outlineLevel="0" collapsed="false">
      <c r="A6" s="2" t="s">
        <v>451</v>
      </c>
      <c r="B6" s="19" t="n">
        <f aca="false">B5*(1+AnnivLift)</f>
        <v>60917.5883341845</v>
      </c>
      <c r="C6" s="34" t="n">
        <f aca="false">B6-B5</f>
        <v>2060.01506444102</v>
      </c>
      <c r="E6" s="9" t="s">
        <v>452</v>
      </c>
    </row>
    <row r="7" customFormat="false" ht="15" hidden="false" customHeight="false" outlineLevel="0" collapsed="false">
      <c r="A7" s="2" t="s">
        <v>453</v>
      </c>
      <c r="B7" s="19" t="n">
        <f aca="false">B6*(1+MacroLift)</f>
        <v>60408.2496095014</v>
      </c>
      <c r="C7" s="34" t="n">
        <f aca="false">B7-B6</f>
        <v>-509.338724683046</v>
      </c>
      <c r="E7" s="9" t="s">
        <v>454</v>
      </c>
    </row>
    <row r="8" customFormat="false" ht="15" hidden="false" customHeight="false" outlineLevel="0" collapsed="false">
      <c r="A8" s="2" t="s">
        <v>455</v>
      </c>
      <c r="B8" s="19" t="n">
        <f aca="false">B7+ReachAdd</f>
        <v>62408.2496095014</v>
      </c>
      <c r="C8" s="34" t="n">
        <f aca="false">B8-B7</f>
        <v>2000</v>
      </c>
      <c r="E8" s="9" t="s">
        <v>456</v>
      </c>
    </row>
    <row r="9" customFormat="false" ht="15" hidden="false" customHeight="false" outlineLevel="0" collapsed="false">
      <c r="A9" s="2" t="s">
        <v>457</v>
      </c>
      <c r="B9" s="19" t="n">
        <f aca="false">B8+ConcertAdd</f>
        <v>63208.2496095014</v>
      </c>
      <c r="C9" s="34" t="n">
        <f aca="false">B9-B8</f>
        <v>800</v>
      </c>
      <c r="E9" s="9" t="s">
        <v>458</v>
      </c>
    </row>
    <row r="10" customFormat="false" ht="15" hidden="false" customHeight="false" outlineLevel="0" collapsed="false">
      <c r="A10" s="1" t="s">
        <v>459</v>
      </c>
      <c r="B10" s="26" t="n">
        <f aca="false">B9</f>
        <v>63208.2496095014</v>
      </c>
      <c r="E10" s="9"/>
    </row>
    <row r="11" customFormat="false" ht="15" hidden="false" customHeight="false" outlineLevel="0" collapsed="false">
      <c r="A11" s="1" t="s">
        <v>460</v>
      </c>
      <c r="B11" s="42" t="n">
        <f aca="false">B10*Weather</f>
        <v>63208.2496095014</v>
      </c>
      <c r="E11" s="9" t="s">
        <v>461</v>
      </c>
    </row>
    <row r="13" customFormat="false" ht="15" hidden="false" customHeight="false" outlineLevel="0" collapsed="false">
      <c r="A13" s="7" t="s">
        <v>462</v>
      </c>
    </row>
    <row r="14" customFormat="false" ht="15" hidden="false" customHeight="false" outlineLevel="0" collapsed="false">
      <c r="A14" s="3" t="s">
        <v>463</v>
      </c>
      <c r="B14" s="3" t="s">
        <v>464</v>
      </c>
      <c r="C14" s="3" t="s">
        <v>322</v>
      </c>
      <c r="D14" s="3"/>
      <c r="E14" s="3" t="s">
        <v>237</v>
      </c>
    </row>
    <row r="15" customFormat="false" ht="15" hidden="false" customHeight="false" outlineLevel="0" collapsed="false">
      <c r="A15" s="0" t="s">
        <v>465</v>
      </c>
      <c r="B15" s="19" t="n">
        <f aca="false">(Base2026_lo*(1+MktLift_lo)*(1+AnnivLift_lo)*(1+MacroLift_lo)+ReachAdd_lo+ConcertAdd_lo)*Weather_lo</f>
        <v>50846.60448</v>
      </c>
      <c r="C15" s="43" t="n">
        <f aca="false">B15/Att2025-1</f>
        <v>-0.09202492</v>
      </c>
      <c r="E15" s="9" t="s">
        <v>466</v>
      </c>
    </row>
    <row r="16" customFormat="false" ht="15" hidden="false" customHeight="false" outlineLevel="0" collapsed="false">
      <c r="A16" s="0" t="s">
        <v>23</v>
      </c>
      <c r="B16" s="19" t="n">
        <f aca="false">(Base2026*(1+MktLift)*(1+AnnivLift)*(1+MacroLift)+ReachAdd+ConcertAdd)*Weather</f>
        <v>63208.2496095014</v>
      </c>
      <c r="C16" s="43" t="n">
        <f aca="false">B16/Att2025-1</f>
        <v>0.128718743026811</v>
      </c>
    </row>
    <row r="17" customFormat="false" ht="15" hidden="false" customHeight="false" outlineLevel="0" collapsed="false">
      <c r="A17" s="0" t="s">
        <v>467</v>
      </c>
      <c r="B17" s="19" t="n">
        <f aca="false">(Base2026_hi*(1+MktLift_hi)*(1+AnnivLift_hi)*(1+MacroLift_hi)+ReachAdd_hi+ConcertAdd_hi)*Weather_hi</f>
        <v>74464.5787392</v>
      </c>
      <c r="C17" s="43" t="n">
        <f aca="false">B17/Att2025-1</f>
        <v>0.329724620342857</v>
      </c>
    </row>
    <row r="19" customFormat="false" ht="15" hidden="false" customHeight="false" outlineLevel="0" collapsed="false">
      <c r="A19" s="7" t="s">
        <v>468</v>
      </c>
    </row>
    <row r="20" customFormat="false" ht="15" hidden="false" customHeight="false" outlineLevel="0" collapsed="false">
      <c r="A20" s="3" t="s">
        <v>469</v>
      </c>
      <c r="B20" s="3" t="s">
        <v>464</v>
      </c>
      <c r="C20" s="3" t="s">
        <v>322</v>
      </c>
    </row>
    <row r="21" customFormat="false" ht="15" hidden="false" customHeight="false" outlineLevel="0" collapsed="false">
      <c r="A21" s="0" t="s">
        <v>470</v>
      </c>
      <c r="B21" s="8" t="n">
        <v>59100</v>
      </c>
      <c r="C21" s="43" t="n">
        <f aca="false">B21/Att2025-1</f>
        <v>0.0553571428571429</v>
      </c>
    </row>
    <row r="22" customFormat="false" ht="15" hidden="false" customHeight="false" outlineLevel="0" collapsed="false">
      <c r="A22" s="0" t="s">
        <v>471</v>
      </c>
      <c r="B22" s="15" t="n">
        <v>62100</v>
      </c>
      <c r="C22" s="43" t="n">
        <f aca="false">B22/Att2025-1</f>
        <v>0.108928571428571</v>
      </c>
    </row>
    <row r="23" customFormat="false" ht="15" hidden="false" customHeight="false" outlineLevel="0" collapsed="false">
      <c r="A23" s="0" t="s">
        <v>472</v>
      </c>
      <c r="B23" s="8" t="n">
        <v>64700</v>
      </c>
      <c r="C23" s="43" t="n">
        <f aca="false">B23/Att2025-1</f>
        <v>0.155357142857143</v>
      </c>
    </row>
    <row r="24" customFormat="false" ht="15" hidden="false" customHeight="false" outlineLevel="0" collapsed="false">
      <c r="A24" s="0" t="s">
        <v>473</v>
      </c>
      <c r="B24" s="23" t="n">
        <v>0.8166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7" t="s">
        <v>474</v>
      </c>
    </row>
    <row r="2" customFormat="false" ht="15" hidden="false" customHeight="false" outlineLevel="0" collapsed="false">
      <c r="A2" s="3" t="s">
        <v>373</v>
      </c>
      <c r="B2" s="3" t="s">
        <v>475</v>
      </c>
      <c r="C2" s="3" t="s">
        <v>476</v>
      </c>
      <c r="D2" s="3" t="s">
        <v>477</v>
      </c>
      <c r="E2" s="3" t="s">
        <v>478</v>
      </c>
      <c r="F2" s="3" t="s">
        <v>479</v>
      </c>
    </row>
    <row r="3" customFormat="false" ht="15" hidden="false" customHeight="false" outlineLevel="0" collapsed="false">
      <c r="A3" s="0" t="s">
        <v>480</v>
      </c>
      <c r="B3" s="19" t="n">
        <f aca="false">(Base2026_lo*(1+MktLift)*(1+AnnivLift)*(1+MacroLift)+ReachAdd+ConcertAdd)*Weather</f>
        <v>61387.949335</v>
      </c>
      <c r="C3" s="19" t="n">
        <f aca="false">(Base2026_hi*(1+MktLift)*(1+AnnivLift)*(1+MacroLift)+ReachAdd+ConcertAdd)*Weather</f>
        <v>64482.38327875</v>
      </c>
      <c r="D3" s="34" t="n">
        <f aca="false">B3-Bridge!$B$10</f>
        <v>-1820.30027450145</v>
      </c>
      <c r="E3" s="34" t="n">
        <f aca="false">C3-Bridge!$B$10</f>
        <v>1274.13366924855</v>
      </c>
      <c r="F3" s="19" t="n">
        <f aca="false">ABS(C3-B3)</f>
        <v>3094.43394375</v>
      </c>
    </row>
    <row r="4" customFormat="false" ht="15" hidden="false" customHeight="false" outlineLevel="0" collapsed="false">
      <c r="A4" s="0" t="s">
        <v>481</v>
      </c>
      <c r="B4" s="19" t="n">
        <f aca="false">(Base2026*(1+MktLift_lo)*(1+AnnivLift)*(1+MacroLift)+ReachAdd+ConcertAdd)*Weather</f>
        <v>61705.5568331457</v>
      </c>
      <c r="C4" s="19" t="n">
        <f aca="false">(Base2026*(1+MktLift_hi)*(1+AnnivLift)*(1+MacroLift)+ReachAdd+ConcertAdd)*Weather</f>
        <v>64350.2961195318</v>
      </c>
      <c r="D4" s="34" t="n">
        <f aca="false">B4-Bridge!$B$10</f>
        <v>-1502.69277635575</v>
      </c>
      <c r="E4" s="34" t="n">
        <f aca="false">C4-Bridge!$B$10</f>
        <v>1142.04651003038</v>
      </c>
      <c r="F4" s="19" t="n">
        <f aca="false">ABS(C4-B4)</f>
        <v>2644.73928638614</v>
      </c>
    </row>
    <row r="5" customFormat="false" ht="15" hidden="false" customHeight="false" outlineLevel="0" collapsed="false">
      <c r="A5" s="0" t="s">
        <v>482</v>
      </c>
      <c r="B5" s="19" t="n">
        <f aca="false">(Base2026*(1+MktLift)*(1+AnnivLift_lo)*(1+MacroLift)+ReachAdd+ConcertAdd)*Weather</f>
        <v>61749.1131455038</v>
      </c>
      <c r="C5" s="19" t="n">
        <f aca="false">(Base2026*(1+MktLift)*(1+AnnivLift_hi)*(1+MacroLift)+ReachAdd+ConcertAdd)*Weather</f>
        <v>65251.0406590981</v>
      </c>
      <c r="D5" s="34" t="n">
        <f aca="false">B5-Bridge!$B$10</f>
        <v>-1459.13646399762</v>
      </c>
      <c r="E5" s="34" t="n">
        <f aca="false">C5-Bridge!$B$10</f>
        <v>2042.79104959668</v>
      </c>
      <c r="F5" s="19" t="n">
        <f aca="false">ABS(C5-B5)</f>
        <v>3501.9275135943</v>
      </c>
    </row>
    <row r="6" customFormat="false" ht="15" hidden="false" customHeight="false" outlineLevel="0" collapsed="false">
      <c r="A6" s="0" t="s">
        <v>483</v>
      </c>
      <c r="B6" s="19" t="n">
        <f aca="false">(Base2026*(1+MktLift)*(1+AnnivLift)*(1+MacroLift_lo)+ReachAdd+ConcertAdd)*Weather</f>
        <v>62499.2365675008</v>
      </c>
      <c r="C6" s="19" t="n">
        <f aca="false">(Base2026*(1+MktLift)*(1+AnnivLift)*(1+MacroLift_hi)+ReachAdd+ConcertAdd)*Weather</f>
        <v>64631.3521591972</v>
      </c>
      <c r="D6" s="34" t="n">
        <f aca="false">B6-Bridge!$B$10</f>
        <v>-709.013042000646</v>
      </c>
      <c r="E6" s="34" t="n">
        <f aca="false">C6-Bridge!$B$10</f>
        <v>1423.10254969581</v>
      </c>
      <c r="F6" s="19" t="n">
        <f aca="false">ABS(C6-B6)</f>
        <v>2132.11559169646</v>
      </c>
    </row>
    <row r="7" customFormat="false" ht="15" hidden="false" customHeight="false" outlineLevel="0" collapsed="false">
      <c r="A7" s="0" t="s">
        <v>484</v>
      </c>
      <c r="B7" s="19" t="n">
        <f aca="false">(Base2026*(1+MktLift)*(1+AnnivLift)*(1+MacroLift)+ReachAdd_lo+ConcertAdd)*Weather</f>
        <v>62208.2496095014</v>
      </c>
      <c r="C7" s="19" t="n">
        <f aca="false">(Base2026*(1+MktLift)*(1+AnnivLift)*(1+MacroLift)+ReachAdd_hi+ConcertAdd)*Weather</f>
        <v>65708.2496095014</v>
      </c>
      <c r="D7" s="34" t="n">
        <f aca="false">B7-Bridge!$B$10</f>
        <v>-1000</v>
      </c>
      <c r="E7" s="34" t="n">
        <f aca="false">C7-Bridge!$B$10</f>
        <v>2500</v>
      </c>
      <c r="F7" s="19" t="n">
        <f aca="false">ABS(C7-B7)</f>
        <v>3500</v>
      </c>
    </row>
    <row r="8" customFormat="false" ht="15" hidden="false" customHeight="false" outlineLevel="0" collapsed="false">
      <c r="A8" s="0" t="s">
        <v>485</v>
      </c>
      <c r="B8" s="19" t="n">
        <f aca="false">(Base2026*(1+MktLift)*(1+AnnivLift)*(1+MacroLift)+ReachAdd+ConcertAdd_lo)*Weather</f>
        <v>62808.2496095014</v>
      </c>
      <c r="C8" s="19" t="n">
        <f aca="false">(Base2026*(1+MktLift)*(1+AnnivLift)*(1+MacroLift)+ReachAdd+ConcertAdd_hi)*Weather</f>
        <v>64408.2496095014</v>
      </c>
      <c r="D8" s="34" t="n">
        <f aca="false">B8-Bridge!$B$10</f>
        <v>-400</v>
      </c>
      <c r="E8" s="34" t="n">
        <f aca="false">C8-Bridge!$B$10</f>
        <v>1200</v>
      </c>
      <c r="F8" s="19" t="n">
        <f aca="false">ABS(C8-B8)</f>
        <v>1600</v>
      </c>
    </row>
    <row r="9" customFormat="false" ht="15" hidden="false" customHeight="false" outlineLevel="0" collapsed="false">
      <c r="A9" s="0" t="s">
        <v>486</v>
      </c>
      <c r="B9" s="19" t="n">
        <f aca="false">(Base2026*(1+MktLift)*(1+AnnivLift)*(1+MacroLift)+ReachAdd+ConcertAdd)*Weather_lo</f>
        <v>56887.4246485513</v>
      </c>
      <c r="C9" s="19" t="n">
        <f aca="false">(Base2026*(1+MktLift)*(1+AnnivLift)*(1+MacroLift)+ReachAdd+ConcertAdd)*Weather_hi</f>
        <v>64472.4146016915</v>
      </c>
      <c r="D9" s="34" t="n">
        <f aca="false">B9-Bridge!$B$10</f>
        <v>-6320.82496095014</v>
      </c>
      <c r="E9" s="34" t="n">
        <f aca="false">C9-Bridge!$B$10</f>
        <v>1264.16499219003</v>
      </c>
      <c r="F9" s="19" t="n">
        <f aca="false">ABS(C9-B9)</f>
        <v>7584.98995314018</v>
      </c>
    </row>
    <row r="11" customFormat="false" ht="15" hidden="false" customHeight="false" outlineLevel="0" collapsed="false">
      <c r="A11" s="20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7" t="s">
        <v>488</v>
      </c>
      <c r="G1" s="37" t="s">
        <v>489</v>
      </c>
      <c r="H1" s="12" t="n">
        <f aca="false">Bridge!B22</f>
        <v>62100</v>
      </c>
    </row>
    <row r="2" customFormat="false" ht="15" hidden="false" customHeight="false" outlineLevel="0" collapsed="false">
      <c r="A2" s="3" t="s">
        <v>490</v>
      </c>
      <c r="B2" s="3" t="s">
        <v>491</v>
      </c>
      <c r="C2" s="3" t="s">
        <v>492</v>
      </c>
      <c r="D2" s="3" t="s">
        <v>493</v>
      </c>
      <c r="E2" s="3" t="s">
        <v>494</v>
      </c>
      <c r="F2" s="3" t="s">
        <v>237</v>
      </c>
      <c r="G2" s="37" t="s">
        <v>495</v>
      </c>
      <c r="H2" s="19" t="n">
        <f aca="false">H1-ConcertAdd*Weather</f>
        <v>61300</v>
      </c>
    </row>
    <row r="3" customFormat="false" ht="15" hidden="false" customHeight="false" outlineLevel="0" collapsed="false">
      <c r="A3" s="0" t="s">
        <v>496</v>
      </c>
      <c r="B3" s="31" t="n">
        <f aca="false">WkS1</f>
        <v>0.2</v>
      </c>
      <c r="C3" s="19" t="n">
        <f aca="false">$H$2*B3-ConcertShift*0.2</f>
        <v>12240</v>
      </c>
      <c r="D3" s="19" t="n">
        <f aca="false">C3*SatShare</f>
        <v>6732</v>
      </c>
      <c r="E3" s="19" t="n">
        <f aca="false">C3-D3</f>
        <v>5508</v>
      </c>
    </row>
    <row r="4" customFormat="false" ht="15" hidden="false" customHeight="false" outlineLevel="0" collapsed="false">
      <c r="A4" s="0" t="s">
        <v>497</v>
      </c>
      <c r="B4" s="31" t="n">
        <f aca="false">WkS2</f>
        <v>0.25</v>
      </c>
      <c r="C4" s="19" t="n">
        <f aca="false">$H$2*B4-ConcertShift*0.3</f>
        <v>15295</v>
      </c>
      <c r="D4" s="19" t="n">
        <f aca="false">C4*SatShare</f>
        <v>8412.25</v>
      </c>
      <c r="E4" s="19" t="n">
        <f aca="false">C4-D4</f>
        <v>6882.75</v>
      </c>
    </row>
    <row r="5" customFormat="false" ht="15" hidden="false" customHeight="false" outlineLevel="0" collapsed="false">
      <c r="A5" s="0" t="s">
        <v>498</v>
      </c>
      <c r="B5" s="31" t="n">
        <f aca="false">WkS3</f>
        <v>0.3</v>
      </c>
      <c r="C5" s="19" t="n">
        <f aca="false">$H$2*B5-ConcertShift*0.5</f>
        <v>18340</v>
      </c>
      <c r="D5" s="19" t="n">
        <f aca="false">C5*SatShare</f>
        <v>10087</v>
      </c>
      <c r="E5" s="19" t="n">
        <f aca="false">C5-D5</f>
        <v>8253</v>
      </c>
    </row>
    <row r="6" customFormat="false" ht="15" hidden="false" customHeight="false" outlineLevel="0" collapsed="false">
      <c r="A6" s="0" t="s">
        <v>499</v>
      </c>
      <c r="B6" s="31" t="n">
        <f aca="false">WkS4</f>
        <v>0.25</v>
      </c>
      <c r="C6" s="19" t="n">
        <f aca="false">$H$2*B6+ConcertAdd*Weather+ConcertShift</f>
        <v>16225</v>
      </c>
      <c r="D6" s="19" t="n">
        <f aca="false">(C6-ConcertAdd*Weather-ConcertShift)*SatShare+ConcertAdd*Weather+ConcertShift</f>
        <v>9328.75</v>
      </c>
      <c r="E6" s="19" t="n">
        <f aca="false">C6-D6</f>
        <v>6896.25</v>
      </c>
      <c r="F6" s="9" t="s">
        <v>500</v>
      </c>
    </row>
    <row r="8" customFormat="false" ht="15" hidden="false" customHeight="false" outlineLevel="0" collapsed="false">
      <c r="A8" s="35" t="s">
        <v>501</v>
      </c>
      <c r="C8" s="26" t="n">
        <f aca="false">D5</f>
        <v>10087</v>
      </c>
    </row>
    <row r="9" customFormat="false" ht="15" hidden="false" customHeight="false" outlineLevel="0" collapsed="false">
      <c r="A9" s="0" t="s">
        <v>502</v>
      </c>
      <c r="C9" s="19" t="n">
        <f aca="false">(C6-ConcertAdd*Weather-ConcertShift)*SatShare</f>
        <v>8428.75</v>
      </c>
    </row>
    <row r="10" customFormat="false" ht="15" hidden="false" customHeight="false" outlineLevel="0" collapsed="false">
      <c r="A10" s="0" t="s">
        <v>503</v>
      </c>
      <c r="C10" s="19" t="n">
        <f aca="false">D6</f>
        <v>9328.75</v>
      </c>
    </row>
    <row r="11" customFormat="false" ht="15" hidden="false" customHeight="false" outlineLevel="0" collapsed="false">
      <c r="A11" s="0" t="s">
        <v>504</v>
      </c>
      <c r="C11" s="44" t="str">
        <f aca="false">IF(D6&gt;D5,"Weekend 4 Saturday","Weekend 3 Saturday")</f>
        <v>Weekend 3 Saturday</v>
      </c>
    </row>
    <row r="13" customFormat="false" ht="15" hidden="false" customHeight="false" outlineLevel="0" collapsed="false">
      <c r="A13" s="7" t="s">
        <v>505</v>
      </c>
    </row>
    <row r="14" customFormat="false" ht="15" hidden="false" customHeight="false" outlineLevel="0" collapsed="false">
      <c r="A14" s="3" t="s">
        <v>490</v>
      </c>
      <c r="B14" s="3" t="s">
        <v>506</v>
      </c>
      <c r="C14" s="3" t="s">
        <v>507</v>
      </c>
      <c r="D14" s="3" t="s">
        <v>508</v>
      </c>
    </row>
    <row r="15" customFormat="false" ht="15" hidden="false" customHeight="false" outlineLevel="0" collapsed="false">
      <c r="A15" s="0" t="s">
        <v>496</v>
      </c>
      <c r="B15" s="8" t="n">
        <v>11600</v>
      </c>
      <c r="C15" s="8" t="n">
        <v>12200</v>
      </c>
      <c r="D15" s="8" t="n">
        <v>12700</v>
      </c>
    </row>
    <row r="16" customFormat="false" ht="15" hidden="false" customHeight="false" outlineLevel="0" collapsed="false">
      <c r="A16" s="0" t="s">
        <v>497</v>
      </c>
      <c r="B16" s="8" t="n">
        <v>14500</v>
      </c>
      <c r="C16" s="8" t="n">
        <v>15300</v>
      </c>
      <c r="D16" s="8" t="n">
        <v>15900</v>
      </c>
    </row>
    <row r="17" customFormat="false" ht="15" hidden="false" customHeight="false" outlineLevel="0" collapsed="false">
      <c r="A17" s="0" t="s">
        <v>498</v>
      </c>
      <c r="B17" s="8" t="n">
        <v>17400</v>
      </c>
      <c r="C17" s="8" t="n">
        <v>18300</v>
      </c>
      <c r="D17" s="8" t="n">
        <v>19100</v>
      </c>
    </row>
    <row r="18" customFormat="false" ht="15" hidden="false" customHeight="false" outlineLevel="0" collapsed="false">
      <c r="A18" s="0" t="s">
        <v>499</v>
      </c>
      <c r="B18" s="8" t="n">
        <v>15500</v>
      </c>
      <c r="C18" s="8" t="n">
        <v>16300</v>
      </c>
      <c r="D18" s="8" t="n">
        <v>17100</v>
      </c>
    </row>
    <row r="19" customFormat="false" ht="15" hidden="false" customHeight="false" outlineLevel="0" collapsed="false">
      <c r="A19" s="0" t="s">
        <v>509</v>
      </c>
      <c r="B19" s="8" t="n">
        <v>9600</v>
      </c>
      <c r="C19" s="8" t="n">
        <v>10100</v>
      </c>
      <c r="D19" s="8" t="n">
        <v>10500</v>
      </c>
    </row>
    <row r="20" customFormat="false" ht="15" hidden="false" customHeight="false" outlineLevel="0" collapsed="false">
      <c r="A20" s="0" t="s">
        <v>510</v>
      </c>
      <c r="B20" s="8" t="n">
        <v>8900</v>
      </c>
      <c r="C20" s="8" t="n">
        <v>9400</v>
      </c>
      <c r="D20" s="8" t="n">
        <v>10000</v>
      </c>
    </row>
    <row r="21" customFormat="false" ht="15" hidden="false" customHeight="false" outlineLevel="0" collapsed="false">
      <c r="A21" s="0" t="s">
        <v>511</v>
      </c>
      <c r="B21" s="23" t="n">
        <v>0.01717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4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7" t="s">
        <v>512</v>
      </c>
    </row>
    <row r="2" customFormat="false" ht="15" hidden="false" customHeight="false" outlineLevel="0" collapsed="false">
      <c r="A2" s="3" t="s">
        <v>513</v>
      </c>
      <c r="B2" s="3" t="s">
        <v>514</v>
      </c>
      <c r="C2" s="3" t="s">
        <v>515</v>
      </c>
      <c r="D2" s="3" t="s">
        <v>516</v>
      </c>
      <c r="E2" s="3" t="s">
        <v>517</v>
      </c>
      <c r="F2" s="3" t="s">
        <v>518</v>
      </c>
      <c r="G2" s="3" t="s">
        <v>519</v>
      </c>
      <c r="H2" s="3" t="s">
        <v>520</v>
      </c>
    </row>
    <row r="3" customFormat="false" ht="23.85" hidden="false" customHeight="false" outlineLevel="0" collapsed="false">
      <c r="A3" s="3"/>
      <c r="B3" s="3" t="s">
        <v>521</v>
      </c>
      <c r="C3" s="3" t="s">
        <v>522</v>
      </c>
      <c r="D3" s="3" t="s">
        <v>523</v>
      </c>
      <c r="E3" s="3" t="s">
        <v>524</v>
      </c>
      <c r="F3" s="3" t="s">
        <v>525</v>
      </c>
      <c r="G3" s="3" t="s">
        <v>526</v>
      </c>
      <c r="H3" s="3"/>
    </row>
    <row r="4" customFormat="false" ht="15" hidden="false" customHeight="false" outlineLevel="0" collapsed="false">
      <c r="A4" s="35" t="s">
        <v>527</v>
      </c>
      <c r="B4" s="16" t="n">
        <v>21.5</v>
      </c>
      <c r="C4" s="10" t="n">
        <v>0.775</v>
      </c>
      <c r="D4" s="8" t="n">
        <v>1.6</v>
      </c>
      <c r="E4" s="8" t="n">
        <v>1</v>
      </c>
      <c r="F4" s="8" t="n">
        <v>2000</v>
      </c>
      <c r="G4" s="10" t="n">
        <v>0.12</v>
      </c>
      <c r="H4" s="8" t="n">
        <v>900</v>
      </c>
    </row>
    <row r="5" customFormat="false" ht="15" hidden="false" customHeight="false" outlineLevel="0" collapsed="false">
      <c r="A5" s="45"/>
      <c r="B5" s="8" t="n">
        <v>18000</v>
      </c>
      <c r="C5" s="46" t="n">
        <v>2</v>
      </c>
      <c r="D5" s="33" t="n">
        <v>2.5</v>
      </c>
      <c r="E5" s="47" t="n">
        <f aca="false">60/D5*C5</f>
        <v>48</v>
      </c>
      <c r="F5" s="23" t="n">
        <v>0.18</v>
      </c>
      <c r="G5" s="46" t="n">
        <v>10</v>
      </c>
    </row>
    <row r="6" customFormat="false" ht="15" hidden="false" customHeight="false" outlineLevel="0" collapsed="false">
      <c r="A6" s="35" t="s">
        <v>528</v>
      </c>
      <c r="B6" s="16" t="n">
        <v>16</v>
      </c>
      <c r="C6" s="10" t="n">
        <v>0.325</v>
      </c>
      <c r="D6" s="8" t="n">
        <v>1.1</v>
      </c>
      <c r="E6" s="8" t="n">
        <v>1</v>
      </c>
      <c r="F6" s="8" t="n">
        <v>900</v>
      </c>
      <c r="G6" s="10" t="n">
        <v>0.1</v>
      </c>
      <c r="H6" s="8" t="n">
        <v>500</v>
      </c>
    </row>
    <row r="7" customFormat="false" ht="15" hidden="false" customHeight="false" outlineLevel="0" collapsed="false">
      <c r="A7" s="45"/>
      <c r="B7" s="8" t="n">
        <v>5000</v>
      </c>
      <c r="C7" s="46" t="n">
        <v>1</v>
      </c>
      <c r="D7" s="33" t="n">
        <v>3</v>
      </c>
      <c r="E7" s="47" t="n">
        <f aca="false">60/D7*C7</f>
        <v>20</v>
      </c>
      <c r="F7" s="23" t="n">
        <v>0.15</v>
      </c>
      <c r="G7" s="46" t="n">
        <v>5</v>
      </c>
    </row>
    <row r="8" customFormat="false" ht="15" hidden="false" customHeight="false" outlineLevel="0" collapsed="false">
      <c r="A8" s="35" t="s">
        <v>529</v>
      </c>
      <c r="B8" s="16" t="n">
        <v>8.5</v>
      </c>
      <c r="C8" s="10" t="n">
        <v>0.4</v>
      </c>
      <c r="D8" s="8" t="n">
        <v>1.3</v>
      </c>
      <c r="E8" s="8" t="n">
        <v>2</v>
      </c>
      <c r="F8" s="8" t="n">
        <v>700</v>
      </c>
      <c r="G8" s="10" t="n">
        <v>0.08</v>
      </c>
      <c r="H8" s="8" t="n">
        <v>600</v>
      </c>
    </row>
    <row r="9" customFormat="false" ht="15" hidden="false" customHeight="false" outlineLevel="0" collapsed="false">
      <c r="A9" s="45"/>
      <c r="B9" s="8" t="n">
        <v>4000</v>
      </c>
      <c r="C9" s="37" t="s">
        <v>530</v>
      </c>
      <c r="E9" s="33" t="n">
        <v>60</v>
      </c>
      <c r="F9" s="23" t="n">
        <v>0.15</v>
      </c>
      <c r="G9" s="46" t="n">
        <v>15</v>
      </c>
    </row>
    <row r="10" customFormat="false" ht="15" hidden="false" customHeight="false" outlineLevel="0" collapsed="false">
      <c r="A10" s="0" t="s">
        <v>531</v>
      </c>
      <c r="B10" s="12" t="n">
        <f aca="false">Bridge!B22</f>
        <v>62100</v>
      </c>
    </row>
    <row r="11" customFormat="false" ht="15" hidden="false" customHeight="false" outlineLevel="0" collapsed="false">
      <c r="A11" s="0" t="s">
        <v>532</v>
      </c>
      <c r="B11" s="12" t="n">
        <f aca="false">Weekends!C8</f>
        <v>10087</v>
      </c>
    </row>
    <row r="12" customFormat="false" ht="15" hidden="false" customHeight="false" outlineLevel="0" collapsed="false">
      <c r="A12" s="0" t="s">
        <v>533</v>
      </c>
      <c r="B12" s="48" t="n">
        <f aca="false">1+PerCap</f>
        <v>0.96</v>
      </c>
    </row>
    <row r="14" customFormat="false" ht="15" hidden="false" customHeight="false" outlineLevel="0" collapsed="false">
      <c r="A14" s="7" t="s">
        <v>534</v>
      </c>
    </row>
    <row r="15" customFormat="false" ht="35.05" hidden="false" customHeight="false" outlineLevel="0" collapsed="false">
      <c r="A15" s="3" t="s">
        <v>513</v>
      </c>
      <c r="B15" s="3" t="s">
        <v>535</v>
      </c>
      <c r="C15" s="3" t="s">
        <v>536</v>
      </c>
      <c r="D15" s="3" t="s">
        <v>537</v>
      </c>
      <c r="E15" s="3" t="s">
        <v>538</v>
      </c>
      <c r="F15" s="3" t="s">
        <v>539</v>
      </c>
      <c r="G15" s="3" t="s">
        <v>540</v>
      </c>
      <c r="H15" s="3" t="s">
        <v>541</v>
      </c>
    </row>
    <row r="16" customFormat="false" ht="15" hidden="false" customHeight="false" outlineLevel="0" collapsed="false">
      <c r="A16" s="0" t="s">
        <v>527</v>
      </c>
      <c r="B16" s="19" t="n">
        <f aca="false">$B$11*C4*D4</f>
        <v>12507.88</v>
      </c>
      <c r="C16" s="19" t="n">
        <f aca="false">B16*F5</f>
        <v>2251.4184</v>
      </c>
      <c r="D16" s="47" t="n">
        <f aca="false">E5</f>
        <v>48</v>
      </c>
      <c r="E16" s="47" t="n">
        <f aca="false">C16/D16</f>
        <v>46.90455</v>
      </c>
      <c r="F16" s="49" t="n">
        <f aca="false">MIN(ErlangC!B$3:B$102)</f>
        <v>48</v>
      </c>
      <c r="G16" s="50" t="n">
        <f aca="false">INDEX(ErlangC!C$3:C$102,MATCH(F16,ErlangC!$A$3:$A$102,0))</f>
        <v>0.936209501361446</v>
      </c>
      <c r="H16" s="51" t="n">
        <f aca="false">$B$10*C4*D4*B4*$B$12</f>
        <v>1589362.56</v>
      </c>
    </row>
    <row r="17" customFormat="false" ht="15" hidden="false" customHeight="false" outlineLevel="0" collapsed="false">
      <c r="A17" s="0" t="s">
        <v>528</v>
      </c>
      <c r="B17" s="19" t="n">
        <f aca="false">$B$11*C6*D6</f>
        <v>3606.1025</v>
      </c>
      <c r="C17" s="19" t="n">
        <f aca="false">B17*F7</f>
        <v>540.915375</v>
      </c>
      <c r="D17" s="47" t="n">
        <f aca="false">E7</f>
        <v>20</v>
      </c>
      <c r="E17" s="47" t="n">
        <f aca="false">C17/D17</f>
        <v>27.04576875</v>
      </c>
      <c r="F17" s="49" t="n">
        <f aca="false">MIN(ErlangC!E$3:E$102)</f>
        <v>28</v>
      </c>
      <c r="G17" s="50" t="n">
        <f aca="false">INDEX(ErlangC!F$3:F$102,MATCH(F17,ErlangC!$A$3:$A$102,0))</f>
        <v>2.51037499545004</v>
      </c>
      <c r="H17" s="51" t="n">
        <f aca="false">$B$10*C6*D6*B6*$B$12</f>
        <v>341003.52</v>
      </c>
    </row>
    <row r="18" customFormat="false" ht="15" hidden="false" customHeight="false" outlineLevel="0" collapsed="false">
      <c r="A18" s="0" t="s">
        <v>529</v>
      </c>
      <c r="B18" s="19" t="n">
        <f aca="false">$B$11*C8*D8</f>
        <v>5245.24</v>
      </c>
      <c r="C18" s="19" t="n">
        <f aca="false">B18*F9</f>
        <v>786.786</v>
      </c>
      <c r="D18" s="47" t="n">
        <f aca="false">E9</f>
        <v>60</v>
      </c>
      <c r="E18" s="47" t="n">
        <f aca="false">C18/D18</f>
        <v>13.1131</v>
      </c>
      <c r="F18" s="49" t="n">
        <f aca="false">MIN(ErlangC!H$3:H$102)</f>
        <v>14</v>
      </c>
      <c r="G18" s="50" t="n">
        <f aca="false">INDEX(ErlangC!I$3:I$102,MATCH(F18,ErlangC!$A$3:$A$102,0))</f>
        <v>0.838272119297968</v>
      </c>
      <c r="H18" s="51" t="n">
        <f aca="false">$B$10*C8*D8*B8*$B$12</f>
        <v>263502.72</v>
      </c>
    </row>
    <row r="20" customFormat="false" ht="15" hidden="false" customHeight="false" outlineLevel="0" collapsed="false">
      <c r="A20" s="7" t="s">
        <v>542</v>
      </c>
    </row>
    <row r="21" customFormat="false" ht="23.85" hidden="false" customHeight="false" outlineLevel="0" collapsed="false">
      <c r="A21" s="3" t="s">
        <v>543</v>
      </c>
      <c r="B21" s="3" t="s">
        <v>544</v>
      </c>
      <c r="C21" s="3" t="s">
        <v>545</v>
      </c>
      <c r="D21" s="3" t="s">
        <v>546</v>
      </c>
      <c r="E21" s="3" t="s">
        <v>547</v>
      </c>
      <c r="F21" s="3" t="s">
        <v>548</v>
      </c>
      <c r="G21" s="3"/>
      <c r="H21" s="3" t="s">
        <v>549</v>
      </c>
    </row>
    <row r="22" customFormat="false" ht="15" hidden="false" customHeight="false" outlineLevel="0" collapsed="false">
      <c r="A22" s="45" t="s">
        <v>550</v>
      </c>
      <c r="B22" s="46" t="n">
        <v>64</v>
      </c>
      <c r="C22" s="46" t="n">
        <v>28</v>
      </c>
      <c r="D22" s="46" t="n">
        <v>14</v>
      </c>
      <c r="E22" s="17" t="n">
        <f aca="false">B22+C22+2*D22</f>
        <v>120</v>
      </c>
      <c r="F22" s="51" t="n">
        <f aca="false">F29+F30+F31</f>
        <v>305426.443664702</v>
      </c>
      <c r="H22" s="44" t="str">
        <f aca="false">IF(E22&lt;=120,"fits 120 units","over budget")</f>
        <v>fits 120 units</v>
      </c>
    </row>
    <row r="23" customFormat="false" ht="15" hidden="false" customHeight="false" outlineLevel="0" collapsed="false">
      <c r="A23" s="35" t="s">
        <v>551</v>
      </c>
      <c r="B23" s="46" t="n">
        <v>60</v>
      </c>
      <c r="C23" s="46" t="n">
        <v>28</v>
      </c>
      <c r="D23" s="46" t="n">
        <v>16</v>
      </c>
      <c r="E23" s="17" t="n">
        <f aca="false">B23+C23+2*D23</f>
        <v>120</v>
      </c>
      <c r="F23" s="52" t="n">
        <f aca="false">F33+F34+F35</f>
        <v>299373.617868401</v>
      </c>
      <c r="H23" s="44" t="str">
        <f aca="false">IF(E23&lt;=120,"fits 120 units","over budget")</f>
        <v>fits 120 units</v>
      </c>
    </row>
    <row r="24" customFormat="false" ht="15" hidden="false" customHeight="false" outlineLevel="0" collapsed="false">
      <c r="A24" s="45" t="s">
        <v>552</v>
      </c>
      <c r="B24" s="46" t="n">
        <v>56</v>
      </c>
      <c r="C24" s="46" t="n">
        <v>32</v>
      </c>
      <c r="D24" s="46" t="n">
        <v>16</v>
      </c>
      <c r="E24" s="17" t="n">
        <f aca="false">B24+C24+2*D24</f>
        <v>120</v>
      </c>
      <c r="F24" s="51" t="n">
        <f aca="false">F37+F38+F39</f>
        <v>294738.519752435</v>
      </c>
      <c r="H24" s="44" t="str">
        <f aca="false">IF(E24&lt;=120,"fits 120 units","over budget")</f>
        <v>fits 120 units</v>
      </c>
    </row>
    <row r="27" customFormat="false" ht="15" hidden="false" customHeight="false" outlineLevel="0" collapsed="false">
      <c r="A27" s="7" t="s">
        <v>553</v>
      </c>
    </row>
    <row r="28" customFormat="false" ht="23.85" hidden="false" customHeight="false" outlineLevel="0" collapsed="false">
      <c r="A28" s="3" t="s">
        <v>554</v>
      </c>
      <c r="B28" s="3" t="s">
        <v>555</v>
      </c>
      <c r="C28" s="3" t="s">
        <v>556</v>
      </c>
      <c r="D28" s="3" t="s">
        <v>557</v>
      </c>
      <c r="E28" s="3" t="s">
        <v>558</v>
      </c>
      <c r="F28" s="3" t="s">
        <v>559</v>
      </c>
      <c r="G28" s="3" t="s">
        <v>560</v>
      </c>
      <c r="H28" s="3" t="s">
        <v>561</v>
      </c>
    </row>
    <row r="29" customFormat="false" ht="15" hidden="false" customHeight="false" outlineLevel="0" collapsed="false">
      <c r="A29" s="0" t="s">
        <v>562</v>
      </c>
      <c r="B29" s="17" t="n">
        <f aca="false">B22</f>
        <v>64</v>
      </c>
      <c r="C29" s="27" t="n">
        <f aca="false">1-EXP(-B29/(F16/-LN(1-0.85)))</f>
        <v>0.920300607311304</v>
      </c>
      <c r="D29" s="51" t="n">
        <f aca="false">H16*C29</f>
        <v>1462691.32920585</v>
      </c>
      <c r="E29" s="51" t="n">
        <f aca="false">D29/B29</f>
        <v>22854.5520188414</v>
      </c>
      <c r="F29" s="51" t="n">
        <f aca="false">F4*B29+G4*D29-H4*B29</f>
        <v>245922.959504702</v>
      </c>
      <c r="G29" s="50" t="n">
        <f aca="false">IFERROR(INDEX(ErlangC!C$3:C$102,MATCH(B29,ErlangC!$A$3:$A$102,0)),0)</f>
        <v>0.000833168328150461</v>
      </c>
      <c r="H29" s="44" t="str">
        <f aca="false">IF(E29&gt;=B5,"yes","NO")</f>
        <v>yes</v>
      </c>
    </row>
    <row r="30" customFormat="false" ht="15" hidden="false" customHeight="false" outlineLevel="0" collapsed="false">
      <c r="A30" s="0" t="s">
        <v>563</v>
      </c>
      <c r="B30" s="17" t="n">
        <f aca="false">C22</f>
        <v>28</v>
      </c>
      <c r="C30" s="27" t="n">
        <f aca="false">1-EXP(-B30/(F17/-LN(1-0.85)))</f>
        <v>0.85</v>
      </c>
      <c r="D30" s="51" t="n">
        <f aca="false">H17*C30</f>
        <v>289852.992</v>
      </c>
      <c r="E30" s="51" t="n">
        <f aca="false">D30/B30</f>
        <v>10351.8925714286</v>
      </c>
      <c r="F30" s="51" t="n">
        <f aca="false">F6*B30+G6*D30-H6*B30</f>
        <v>40185.2992</v>
      </c>
      <c r="G30" s="50" t="n">
        <f aca="false">IFERROR(INDEX(ErlangC!F$3:F$102,MATCH(B30,ErlangC!$A$3:$A$102,0)),0)</f>
        <v>2.51037499545004</v>
      </c>
      <c r="H30" s="44" t="str">
        <f aca="false">IF(E30&gt;=B7,"yes","NO")</f>
        <v>yes</v>
      </c>
    </row>
    <row r="31" customFormat="false" ht="15" hidden="false" customHeight="false" outlineLevel="0" collapsed="false">
      <c r="A31" s="0" t="s">
        <v>564</v>
      </c>
      <c r="B31" s="17" t="n">
        <f aca="false">D22</f>
        <v>14</v>
      </c>
      <c r="C31" s="27" t="n">
        <f aca="false">1-EXP(-B31/(F18/-LN(1-0.85)))</f>
        <v>0.85</v>
      </c>
      <c r="D31" s="51" t="n">
        <f aca="false">H18*C31</f>
        <v>223977.312</v>
      </c>
      <c r="E31" s="51" t="n">
        <f aca="false">D31/B31</f>
        <v>15998.3794285714</v>
      </c>
      <c r="F31" s="51" t="n">
        <f aca="false">F8*B31+G8*D31-H8*B31</f>
        <v>19318.18496</v>
      </c>
      <c r="G31" s="50" t="n">
        <f aca="false">IFERROR(INDEX(ErlangC!I$3:I$102,MATCH(B31,ErlangC!$A$3:$A$102,0)),0)</f>
        <v>0.838272119297968</v>
      </c>
      <c r="H31" s="44" t="str">
        <f aca="false">IF(E31&gt;=B9,"yes","NO")</f>
        <v>yes</v>
      </c>
    </row>
    <row r="33" customFormat="false" ht="15" hidden="false" customHeight="false" outlineLevel="0" collapsed="false">
      <c r="A33" s="0" t="s">
        <v>565</v>
      </c>
      <c r="B33" s="17" t="n">
        <f aca="false">B23</f>
        <v>60</v>
      </c>
      <c r="C33" s="27" t="n">
        <f aca="false">1-EXP(-B33/(F16/-LN(1-0.85)))</f>
        <v>0.906650053406728</v>
      </c>
      <c r="D33" s="51" t="n">
        <f aca="false">H16*C33</f>
        <v>1440995.64990665</v>
      </c>
      <c r="E33" s="51" t="n">
        <f aca="false">D33/B33</f>
        <v>24016.5941651109</v>
      </c>
      <c r="F33" s="51" t="n">
        <f aca="false">F4*B33+G4*D33-H4*B33</f>
        <v>238919.477988799</v>
      </c>
      <c r="G33" s="50" t="n">
        <f aca="false">IFERROR(INDEX(ErlangC!C$3:C$102,MATCH(B33,ErlangC!$A$3:$A$102,0)),0)</f>
        <v>0.0041694091688292</v>
      </c>
      <c r="H33" s="44" t="str">
        <f aca="false">IF(E33&gt;=B5,"yes","NO")</f>
        <v>yes</v>
      </c>
    </row>
    <row r="34" customFormat="false" ht="15" hidden="false" customHeight="false" outlineLevel="0" collapsed="false">
      <c r="A34" s="0" t="s">
        <v>566</v>
      </c>
      <c r="B34" s="17" t="n">
        <f aca="false">C23</f>
        <v>28</v>
      </c>
      <c r="C34" s="27" t="n">
        <f aca="false">1-EXP(-B34/(F17/-LN(1-0.85)))</f>
        <v>0.85</v>
      </c>
      <c r="D34" s="51" t="n">
        <f aca="false">H17*C34</f>
        <v>289852.992</v>
      </c>
      <c r="E34" s="51" t="n">
        <f aca="false">D34/B34</f>
        <v>10351.8925714286</v>
      </c>
      <c r="F34" s="51" t="n">
        <f aca="false">F6*B34+G6*D34-H6*B34</f>
        <v>40185.2992</v>
      </c>
      <c r="G34" s="50" t="n">
        <f aca="false">IFERROR(INDEX(ErlangC!F$3:F$102,MATCH(B34,ErlangC!$A$3:$A$102,0)),0)</f>
        <v>2.51037499545004</v>
      </c>
      <c r="H34" s="44" t="str">
        <f aca="false">IF(E34&gt;=B7,"yes","NO")</f>
        <v>yes</v>
      </c>
    </row>
    <row r="35" customFormat="false" ht="15" hidden="false" customHeight="false" outlineLevel="0" collapsed="false">
      <c r="A35" s="0" t="s">
        <v>567</v>
      </c>
      <c r="B35" s="17" t="n">
        <f aca="false">D23</f>
        <v>16</v>
      </c>
      <c r="C35" s="27" t="n">
        <f aca="false">1-EXP(-B35/(F18/-LN(1-0.85)))</f>
        <v>0.885609486289292</v>
      </c>
      <c r="D35" s="51" t="n">
        <f aca="false">H18*C35</f>
        <v>233360.508495031</v>
      </c>
      <c r="E35" s="51" t="n">
        <f aca="false">D35/B35</f>
        <v>14585.0317809394</v>
      </c>
      <c r="F35" s="51" t="n">
        <f aca="false">F8*B35+G8*D35-H8*B35</f>
        <v>20268.8406796025</v>
      </c>
      <c r="G35" s="50" t="n">
        <f aca="false">IFERROR(INDEX(ErlangC!I$3:I$102,MATCH(B35,ErlangC!$A$3:$A$102,0)),0)</f>
        <v>0.121811555647927</v>
      </c>
      <c r="H35" s="44" t="str">
        <f aca="false">IF(E35&gt;=B9,"yes","NO")</f>
        <v>yes</v>
      </c>
    </row>
    <row r="37" customFormat="false" ht="15" hidden="false" customHeight="false" outlineLevel="0" collapsed="false">
      <c r="A37" s="0" t="s">
        <v>568</v>
      </c>
      <c r="B37" s="17" t="n">
        <f aca="false">B24</f>
        <v>56</v>
      </c>
      <c r="C37" s="27" t="n">
        <f aca="false">1-EXP(-B37/(F16/-LN(1-0.85)))</f>
        <v>0.890661493958878</v>
      </c>
      <c r="D37" s="51" t="n">
        <f aca="false">H16*C37</f>
        <v>1415584.03213191</v>
      </c>
      <c r="E37" s="51" t="n">
        <f aca="false">D37/B37</f>
        <v>25278.2862880698</v>
      </c>
      <c r="F37" s="51" t="n">
        <f aca="false">F4*B37+G4*D37-H4*B37</f>
        <v>231470.083855829</v>
      </c>
      <c r="G37" s="50" t="n">
        <f aca="false">IFERROR(INDEX(ErlangC!C$3:C$102,MATCH(B37,ErlangC!$A$3:$A$102,0)),0)</f>
        <v>0.0189611699853372</v>
      </c>
      <c r="H37" s="44" t="str">
        <f aca="false">IF(E37&gt;=B5,"yes","NO")</f>
        <v>yes</v>
      </c>
    </row>
    <row r="38" customFormat="false" ht="15" hidden="false" customHeight="false" outlineLevel="0" collapsed="false">
      <c r="A38" s="0" t="s">
        <v>569</v>
      </c>
      <c r="B38" s="17" t="n">
        <f aca="false">C24</f>
        <v>32</v>
      </c>
      <c r="C38" s="27" t="n">
        <f aca="false">1-EXP(-B38/(F17/-LN(1-0.85)))</f>
        <v>0.885609486289292</v>
      </c>
      <c r="D38" s="51" t="n">
        <f aca="false">H17*C38</f>
        <v>301995.95217004</v>
      </c>
      <c r="E38" s="51" t="n">
        <f aca="false">D38/B38</f>
        <v>9437.37350531376</v>
      </c>
      <c r="F38" s="51" t="n">
        <f aca="false">F6*B38+G6*D38-H6*B38</f>
        <v>42999.595217004</v>
      </c>
      <c r="G38" s="50" t="n">
        <f aca="false">IFERROR(INDEX(ErlangC!F$3:F$102,MATCH(B38,ErlangC!$A$3:$A$102,0)),0)</f>
        <v>0.16256359569546</v>
      </c>
      <c r="H38" s="44" t="str">
        <f aca="false">IF(E38&gt;=B7,"yes","NO")</f>
        <v>yes</v>
      </c>
    </row>
    <row r="39" customFormat="false" ht="15" hidden="false" customHeight="false" outlineLevel="0" collapsed="false">
      <c r="A39" s="0" t="s">
        <v>570</v>
      </c>
      <c r="B39" s="17" t="n">
        <f aca="false">D24</f>
        <v>16</v>
      </c>
      <c r="C39" s="27" t="n">
        <f aca="false">1-EXP(-B39/(F18/-LN(1-0.85)))</f>
        <v>0.885609486289292</v>
      </c>
      <c r="D39" s="51" t="n">
        <f aca="false">H18*C39</f>
        <v>233360.508495031</v>
      </c>
      <c r="E39" s="51" t="n">
        <f aca="false">D39/B39</f>
        <v>14585.0317809394</v>
      </c>
      <c r="F39" s="51" t="n">
        <f aca="false">F8*B39+G8*D39-H8*B39</f>
        <v>20268.8406796025</v>
      </c>
      <c r="G39" s="50" t="n">
        <f aca="false">IFERROR(INDEX(ErlangC!I$3:I$102,MATCH(B39,ErlangC!$A$3:$A$102,0)),0)</f>
        <v>0.121811555647927</v>
      </c>
      <c r="H39" s="44" t="str">
        <f aca="false">IF(E39&gt;=B9,"yes","NO")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7" t="s">
        <v>571</v>
      </c>
    </row>
    <row r="2" customFormat="false" ht="23.85" hidden="false" customHeight="false" outlineLevel="0" collapsed="false">
      <c r="A2" s="3" t="s">
        <v>572</v>
      </c>
      <c r="B2" s="3" t="s">
        <v>573</v>
      </c>
      <c r="C2" s="3" t="s">
        <v>574</v>
      </c>
      <c r="D2" s="3" t="s">
        <v>575</v>
      </c>
      <c r="E2" s="3" t="s">
        <v>576</v>
      </c>
      <c r="F2" s="3" t="s">
        <v>577</v>
      </c>
      <c r="G2" s="3" t="s">
        <v>578</v>
      </c>
      <c r="H2" s="3" t="s">
        <v>579</v>
      </c>
      <c r="I2" s="3" t="s">
        <v>580</v>
      </c>
      <c r="J2" s="3" t="s">
        <v>581</v>
      </c>
      <c r="L2" s="53" t="s">
        <v>582</v>
      </c>
    </row>
    <row r="3" customFormat="false" ht="15" hidden="false" customHeight="false" outlineLevel="0" collapsed="false">
      <c r="A3" s="0" t="n">
        <v>1</v>
      </c>
      <c r="B3" s="54" t="n">
        <f aca="false">IF(C3&lt;=Part2!$G$5,A3,9999)</f>
        <v>9999</v>
      </c>
      <c r="C3" s="55" t="n">
        <f aca="false">IF(A3&lt;=(Part2!$C$16/Part2!$D$16),9999,D3/(A3*Part2!$D$16-Part2!$C$16)*60)</f>
        <v>9999</v>
      </c>
      <c r="D3" s="56" t="n">
        <f aca="false">IF(A3&lt;=(Part2!$C$16/Part2!$D$16),1,((Part2!$C$16/Part2!$D$16)^A3/FACT(A3)*A3/(A3-(Part2!$C$16/Part2!$D$16)))/(SUMPRODUCT(($L$3:$L$102&lt;A3)*((Part2!$C$16/Part2!$D$16)^$L$3:$L$102/FACT($L$3:$L$102)))+((Part2!$C$16/Part2!$D$16)^A3/FACT(A3)*A3/(A3-(Part2!$C$16/Part2!$D$16)))))</f>
        <v>1</v>
      </c>
      <c r="E3" s="54" t="n">
        <f aca="false">IF(F3&lt;=Part2!$G$7,A3,9999)</f>
        <v>9999</v>
      </c>
      <c r="F3" s="55" t="n">
        <f aca="false">IF(A3&lt;=(Part2!$C$17/Part2!$D$17),9999,G3/(A3*Part2!$D$17-Part2!$C$17)*60)</f>
        <v>9999</v>
      </c>
      <c r="G3" s="56" t="n">
        <f aca="false">IF(A3&lt;=(Part2!$C$17/Part2!$D$17),1,((Part2!$C$17/Part2!$D$17)^A3/FACT(A3)*A3/(A3-(Part2!$C$17/Part2!$D$17)))/(SUMPRODUCT(($L$3:$L$102&lt;A3)*((Part2!$C$17/Part2!$D$17)^$L$3:$L$102/FACT($L$3:$L$102)))+((Part2!$C$17/Part2!$D$17)^A3/FACT(A3)*A3/(A3-(Part2!$C$17/Part2!$D$17)))))</f>
        <v>1</v>
      </c>
      <c r="H3" s="54" t="n">
        <f aca="false">IF(I3&lt;=Part2!$G$9,A3,9999)</f>
        <v>9999</v>
      </c>
      <c r="I3" s="55" t="n">
        <f aca="false">IF(A3&lt;=(Part2!$C$18/Part2!$D$18),9999,J3/(A3*Part2!$D$18-Part2!$C$18)*60)</f>
        <v>9999</v>
      </c>
      <c r="J3" s="56" t="n">
        <f aca="false">IF(A3&lt;=(Part2!$C$18/Part2!$D$18),1,((Part2!$C$18/Part2!$D$18)^A3/FACT(A3)*A3/(A3-(Part2!$C$18/Part2!$D$18)))/(SUMPRODUCT(($L$3:$L$102&lt;A3)*((Part2!$C$18/Part2!$D$18)^$L$3:$L$102/FACT($L$3:$L$102)))+((Part2!$C$18/Part2!$D$18)^A3/FACT(A3)*A3/(A3-(Part2!$C$18/Part2!$D$18)))))</f>
        <v>1</v>
      </c>
      <c r="L3" s="0" t="n">
        <v>0</v>
      </c>
    </row>
    <row r="4" customFormat="false" ht="15" hidden="false" customHeight="false" outlineLevel="0" collapsed="false">
      <c r="A4" s="0" t="n">
        <v>2</v>
      </c>
      <c r="B4" s="54" t="n">
        <f aca="false">IF(C4&lt;=Part2!$G$5,A4,9999)</f>
        <v>9999</v>
      </c>
      <c r="C4" s="55" t="n">
        <f aca="false">IF(A4&lt;=(Part2!$C$16/Part2!$D$16),9999,D4/(A4*Part2!$D$16-Part2!$C$16)*60)</f>
        <v>9999</v>
      </c>
      <c r="D4" s="56" t="n">
        <f aca="false">IF(A4&lt;=(Part2!$C$16/Part2!$D$16),1,((Part2!$C$16/Part2!$D$16)^A4/FACT(A4)*A4/(A4-(Part2!$C$16/Part2!$D$16)))/(SUMPRODUCT(($L$3:$L$102&lt;A4)*((Part2!$C$16/Part2!$D$16)^$L$3:$L$102/FACT($L$3:$L$102)))+((Part2!$C$16/Part2!$D$16)^A4/FACT(A4)*A4/(A4-(Part2!$C$16/Part2!$D$16)))))</f>
        <v>1</v>
      </c>
      <c r="E4" s="54" t="n">
        <f aca="false">IF(F4&lt;=Part2!$G$7,A4,9999)</f>
        <v>9999</v>
      </c>
      <c r="F4" s="55" t="n">
        <f aca="false">IF(A4&lt;=(Part2!$C$17/Part2!$D$17),9999,G4/(A4*Part2!$D$17-Part2!$C$17)*60)</f>
        <v>9999</v>
      </c>
      <c r="G4" s="56" t="n">
        <f aca="false">IF(A4&lt;=(Part2!$C$17/Part2!$D$17),1,((Part2!$C$17/Part2!$D$17)^A4/FACT(A4)*A4/(A4-(Part2!$C$17/Part2!$D$17)))/(SUMPRODUCT(($L$3:$L$102&lt;A4)*((Part2!$C$17/Part2!$D$17)^$L$3:$L$102/FACT($L$3:$L$102)))+((Part2!$C$17/Part2!$D$17)^A4/FACT(A4)*A4/(A4-(Part2!$C$17/Part2!$D$17)))))</f>
        <v>1</v>
      </c>
      <c r="H4" s="54" t="n">
        <f aca="false">IF(I4&lt;=Part2!$G$9,A4,9999)</f>
        <v>9999</v>
      </c>
      <c r="I4" s="55" t="n">
        <f aca="false">IF(A4&lt;=(Part2!$C$18/Part2!$D$18),9999,J4/(A4*Part2!$D$18-Part2!$C$18)*60)</f>
        <v>9999</v>
      </c>
      <c r="J4" s="56" t="n">
        <f aca="false">IF(A4&lt;=(Part2!$C$18/Part2!$D$18),1,((Part2!$C$18/Part2!$D$18)^A4/FACT(A4)*A4/(A4-(Part2!$C$18/Part2!$D$18)))/(SUMPRODUCT(($L$3:$L$102&lt;A4)*((Part2!$C$18/Part2!$D$18)^$L$3:$L$102/FACT($L$3:$L$102)))+((Part2!$C$18/Part2!$D$18)^A4/FACT(A4)*A4/(A4-(Part2!$C$18/Part2!$D$18)))))</f>
        <v>1</v>
      </c>
      <c r="L4" s="0" t="n">
        <v>1</v>
      </c>
    </row>
    <row r="5" customFormat="false" ht="15" hidden="false" customHeight="false" outlineLevel="0" collapsed="false">
      <c r="A5" s="0" t="n">
        <v>3</v>
      </c>
      <c r="B5" s="54" t="n">
        <f aca="false">IF(C5&lt;=Part2!$G$5,A5,9999)</f>
        <v>9999</v>
      </c>
      <c r="C5" s="55" t="n">
        <f aca="false">IF(A5&lt;=(Part2!$C$16/Part2!$D$16),9999,D5/(A5*Part2!$D$16-Part2!$C$16)*60)</f>
        <v>9999</v>
      </c>
      <c r="D5" s="56" t="n">
        <f aca="false">IF(A5&lt;=(Part2!$C$16/Part2!$D$16),1,((Part2!$C$16/Part2!$D$16)^A5/FACT(A5)*A5/(A5-(Part2!$C$16/Part2!$D$16)))/(SUMPRODUCT(($L$3:$L$102&lt;A5)*((Part2!$C$16/Part2!$D$16)^$L$3:$L$102/FACT($L$3:$L$102)))+((Part2!$C$16/Part2!$D$16)^A5/FACT(A5)*A5/(A5-(Part2!$C$16/Part2!$D$16)))))</f>
        <v>1</v>
      </c>
      <c r="E5" s="54" t="n">
        <f aca="false">IF(F5&lt;=Part2!$G$7,A5,9999)</f>
        <v>9999</v>
      </c>
      <c r="F5" s="55" t="n">
        <f aca="false">IF(A5&lt;=(Part2!$C$17/Part2!$D$17),9999,G5/(A5*Part2!$D$17-Part2!$C$17)*60)</f>
        <v>9999</v>
      </c>
      <c r="G5" s="56" t="n">
        <f aca="false">IF(A5&lt;=(Part2!$C$17/Part2!$D$17),1,((Part2!$C$17/Part2!$D$17)^A5/FACT(A5)*A5/(A5-(Part2!$C$17/Part2!$D$17)))/(SUMPRODUCT(($L$3:$L$102&lt;A5)*((Part2!$C$17/Part2!$D$17)^$L$3:$L$102/FACT($L$3:$L$102)))+((Part2!$C$17/Part2!$D$17)^A5/FACT(A5)*A5/(A5-(Part2!$C$17/Part2!$D$17)))))</f>
        <v>1</v>
      </c>
      <c r="H5" s="54" t="n">
        <f aca="false">IF(I5&lt;=Part2!$G$9,A5,9999)</f>
        <v>9999</v>
      </c>
      <c r="I5" s="55" t="n">
        <f aca="false">IF(A5&lt;=(Part2!$C$18/Part2!$D$18),9999,J5/(A5*Part2!$D$18-Part2!$C$18)*60)</f>
        <v>9999</v>
      </c>
      <c r="J5" s="56" t="n">
        <f aca="false">IF(A5&lt;=(Part2!$C$18/Part2!$D$18),1,((Part2!$C$18/Part2!$D$18)^A5/FACT(A5)*A5/(A5-(Part2!$C$18/Part2!$D$18)))/(SUMPRODUCT(($L$3:$L$102&lt;A5)*((Part2!$C$18/Part2!$D$18)^$L$3:$L$102/FACT($L$3:$L$102)))+((Part2!$C$18/Part2!$D$18)^A5/FACT(A5)*A5/(A5-(Part2!$C$18/Part2!$D$18)))))</f>
        <v>1</v>
      </c>
      <c r="L5" s="0" t="n">
        <v>2</v>
      </c>
    </row>
    <row r="6" customFormat="false" ht="15" hidden="false" customHeight="false" outlineLevel="0" collapsed="false">
      <c r="A6" s="0" t="n">
        <v>4</v>
      </c>
      <c r="B6" s="54" t="n">
        <f aca="false">IF(C6&lt;=Part2!$G$5,A6,9999)</f>
        <v>9999</v>
      </c>
      <c r="C6" s="55" t="n">
        <f aca="false">IF(A6&lt;=(Part2!$C$16/Part2!$D$16),9999,D6/(A6*Part2!$D$16-Part2!$C$16)*60)</f>
        <v>9999</v>
      </c>
      <c r="D6" s="56" t="n">
        <f aca="false">IF(A6&lt;=(Part2!$C$16/Part2!$D$16),1,((Part2!$C$16/Part2!$D$16)^A6/FACT(A6)*A6/(A6-(Part2!$C$16/Part2!$D$16)))/(SUMPRODUCT(($L$3:$L$102&lt;A6)*((Part2!$C$16/Part2!$D$16)^$L$3:$L$102/FACT($L$3:$L$102)))+((Part2!$C$16/Part2!$D$16)^A6/FACT(A6)*A6/(A6-(Part2!$C$16/Part2!$D$16)))))</f>
        <v>1</v>
      </c>
      <c r="E6" s="54" t="n">
        <f aca="false">IF(F6&lt;=Part2!$G$7,A6,9999)</f>
        <v>9999</v>
      </c>
      <c r="F6" s="55" t="n">
        <f aca="false">IF(A6&lt;=(Part2!$C$17/Part2!$D$17),9999,G6/(A6*Part2!$D$17-Part2!$C$17)*60)</f>
        <v>9999</v>
      </c>
      <c r="G6" s="56" t="n">
        <f aca="false">IF(A6&lt;=(Part2!$C$17/Part2!$D$17),1,((Part2!$C$17/Part2!$D$17)^A6/FACT(A6)*A6/(A6-(Part2!$C$17/Part2!$D$17)))/(SUMPRODUCT(($L$3:$L$102&lt;A6)*((Part2!$C$17/Part2!$D$17)^$L$3:$L$102/FACT($L$3:$L$102)))+((Part2!$C$17/Part2!$D$17)^A6/FACT(A6)*A6/(A6-(Part2!$C$17/Part2!$D$17)))))</f>
        <v>1</v>
      </c>
      <c r="H6" s="54" t="n">
        <f aca="false">IF(I6&lt;=Part2!$G$9,A6,9999)</f>
        <v>9999</v>
      </c>
      <c r="I6" s="55" t="n">
        <f aca="false">IF(A6&lt;=(Part2!$C$18/Part2!$D$18),9999,J6/(A6*Part2!$D$18-Part2!$C$18)*60)</f>
        <v>9999</v>
      </c>
      <c r="J6" s="56" t="n">
        <f aca="false">IF(A6&lt;=(Part2!$C$18/Part2!$D$18),1,((Part2!$C$18/Part2!$D$18)^A6/FACT(A6)*A6/(A6-(Part2!$C$18/Part2!$D$18)))/(SUMPRODUCT(($L$3:$L$102&lt;A6)*((Part2!$C$18/Part2!$D$18)^$L$3:$L$102/FACT($L$3:$L$102)))+((Part2!$C$18/Part2!$D$18)^A6/FACT(A6)*A6/(A6-(Part2!$C$18/Part2!$D$18)))))</f>
        <v>1</v>
      </c>
      <c r="L6" s="0" t="n">
        <v>3</v>
      </c>
    </row>
    <row r="7" customFormat="false" ht="15" hidden="false" customHeight="false" outlineLevel="0" collapsed="false">
      <c r="A7" s="0" t="n">
        <v>5</v>
      </c>
      <c r="B7" s="54" t="n">
        <f aca="false">IF(C7&lt;=Part2!$G$5,A7,9999)</f>
        <v>9999</v>
      </c>
      <c r="C7" s="55" t="n">
        <f aca="false">IF(A7&lt;=(Part2!$C$16/Part2!$D$16),9999,D7/(A7*Part2!$D$16-Part2!$C$16)*60)</f>
        <v>9999</v>
      </c>
      <c r="D7" s="56" t="n">
        <f aca="false">IF(A7&lt;=(Part2!$C$16/Part2!$D$16),1,((Part2!$C$16/Part2!$D$16)^A7/FACT(A7)*A7/(A7-(Part2!$C$16/Part2!$D$16)))/(SUMPRODUCT(($L$3:$L$102&lt;A7)*((Part2!$C$16/Part2!$D$16)^$L$3:$L$102/FACT($L$3:$L$102)))+((Part2!$C$16/Part2!$D$16)^A7/FACT(A7)*A7/(A7-(Part2!$C$16/Part2!$D$16)))))</f>
        <v>1</v>
      </c>
      <c r="E7" s="54" t="n">
        <f aca="false">IF(F7&lt;=Part2!$G$7,A7,9999)</f>
        <v>9999</v>
      </c>
      <c r="F7" s="55" t="n">
        <f aca="false">IF(A7&lt;=(Part2!$C$17/Part2!$D$17),9999,G7/(A7*Part2!$D$17-Part2!$C$17)*60)</f>
        <v>9999</v>
      </c>
      <c r="G7" s="56" t="n">
        <f aca="false">IF(A7&lt;=(Part2!$C$17/Part2!$D$17),1,((Part2!$C$17/Part2!$D$17)^A7/FACT(A7)*A7/(A7-(Part2!$C$17/Part2!$D$17)))/(SUMPRODUCT(($L$3:$L$102&lt;A7)*((Part2!$C$17/Part2!$D$17)^$L$3:$L$102/FACT($L$3:$L$102)))+((Part2!$C$17/Part2!$D$17)^A7/FACT(A7)*A7/(A7-(Part2!$C$17/Part2!$D$17)))))</f>
        <v>1</v>
      </c>
      <c r="H7" s="54" t="n">
        <f aca="false">IF(I7&lt;=Part2!$G$9,A7,9999)</f>
        <v>9999</v>
      </c>
      <c r="I7" s="55" t="n">
        <f aca="false">IF(A7&lt;=(Part2!$C$18/Part2!$D$18),9999,J7/(A7*Part2!$D$18-Part2!$C$18)*60)</f>
        <v>9999</v>
      </c>
      <c r="J7" s="56" t="n">
        <f aca="false">IF(A7&lt;=(Part2!$C$18/Part2!$D$18),1,((Part2!$C$18/Part2!$D$18)^A7/FACT(A7)*A7/(A7-(Part2!$C$18/Part2!$D$18)))/(SUMPRODUCT(($L$3:$L$102&lt;A7)*((Part2!$C$18/Part2!$D$18)^$L$3:$L$102/FACT($L$3:$L$102)))+((Part2!$C$18/Part2!$D$18)^A7/FACT(A7)*A7/(A7-(Part2!$C$18/Part2!$D$18)))))</f>
        <v>1</v>
      </c>
      <c r="L7" s="0" t="n">
        <v>4</v>
      </c>
    </row>
    <row r="8" customFormat="false" ht="15" hidden="false" customHeight="false" outlineLevel="0" collapsed="false">
      <c r="A8" s="0" t="n">
        <v>6</v>
      </c>
      <c r="B8" s="54" t="n">
        <f aca="false">IF(C8&lt;=Part2!$G$5,A8,9999)</f>
        <v>9999</v>
      </c>
      <c r="C8" s="55" t="n">
        <f aca="false">IF(A8&lt;=(Part2!$C$16/Part2!$D$16),9999,D8/(A8*Part2!$D$16-Part2!$C$16)*60)</f>
        <v>9999</v>
      </c>
      <c r="D8" s="56" t="n">
        <f aca="false">IF(A8&lt;=(Part2!$C$16/Part2!$D$16),1,((Part2!$C$16/Part2!$D$16)^A8/FACT(A8)*A8/(A8-(Part2!$C$16/Part2!$D$16)))/(SUMPRODUCT(($L$3:$L$102&lt;A8)*((Part2!$C$16/Part2!$D$16)^$L$3:$L$102/FACT($L$3:$L$102)))+((Part2!$C$16/Part2!$D$16)^A8/FACT(A8)*A8/(A8-(Part2!$C$16/Part2!$D$16)))))</f>
        <v>1</v>
      </c>
      <c r="E8" s="54" t="n">
        <f aca="false">IF(F8&lt;=Part2!$G$7,A8,9999)</f>
        <v>9999</v>
      </c>
      <c r="F8" s="55" t="n">
        <f aca="false">IF(A8&lt;=(Part2!$C$17/Part2!$D$17),9999,G8/(A8*Part2!$D$17-Part2!$C$17)*60)</f>
        <v>9999</v>
      </c>
      <c r="G8" s="56" t="n">
        <f aca="false">IF(A8&lt;=(Part2!$C$17/Part2!$D$17),1,((Part2!$C$17/Part2!$D$17)^A8/FACT(A8)*A8/(A8-(Part2!$C$17/Part2!$D$17)))/(SUMPRODUCT(($L$3:$L$102&lt;A8)*((Part2!$C$17/Part2!$D$17)^$L$3:$L$102/FACT($L$3:$L$102)))+((Part2!$C$17/Part2!$D$17)^A8/FACT(A8)*A8/(A8-(Part2!$C$17/Part2!$D$17)))))</f>
        <v>1</v>
      </c>
      <c r="H8" s="54" t="n">
        <f aca="false">IF(I8&lt;=Part2!$G$9,A8,9999)</f>
        <v>9999</v>
      </c>
      <c r="I8" s="55" t="n">
        <f aca="false">IF(A8&lt;=(Part2!$C$18/Part2!$D$18),9999,J8/(A8*Part2!$D$18-Part2!$C$18)*60)</f>
        <v>9999</v>
      </c>
      <c r="J8" s="56" t="n">
        <f aca="false">IF(A8&lt;=(Part2!$C$18/Part2!$D$18),1,((Part2!$C$18/Part2!$D$18)^A8/FACT(A8)*A8/(A8-(Part2!$C$18/Part2!$D$18)))/(SUMPRODUCT(($L$3:$L$102&lt;A8)*((Part2!$C$18/Part2!$D$18)^$L$3:$L$102/FACT($L$3:$L$102)))+((Part2!$C$18/Part2!$D$18)^A8/FACT(A8)*A8/(A8-(Part2!$C$18/Part2!$D$18)))))</f>
        <v>1</v>
      </c>
      <c r="L8" s="0" t="n">
        <v>5</v>
      </c>
    </row>
    <row r="9" customFormat="false" ht="15" hidden="false" customHeight="false" outlineLevel="0" collapsed="false">
      <c r="A9" s="0" t="n">
        <v>7</v>
      </c>
      <c r="B9" s="54" t="n">
        <f aca="false">IF(C9&lt;=Part2!$G$5,A9,9999)</f>
        <v>9999</v>
      </c>
      <c r="C9" s="55" t="n">
        <f aca="false">IF(A9&lt;=(Part2!$C$16/Part2!$D$16),9999,D9/(A9*Part2!$D$16-Part2!$C$16)*60)</f>
        <v>9999</v>
      </c>
      <c r="D9" s="56" t="n">
        <f aca="false">IF(A9&lt;=(Part2!$C$16/Part2!$D$16),1,((Part2!$C$16/Part2!$D$16)^A9/FACT(A9)*A9/(A9-(Part2!$C$16/Part2!$D$16)))/(SUMPRODUCT(($L$3:$L$102&lt;A9)*((Part2!$C$16/Part2!$D$16)^$L$3:$L$102/FACT($L$3:$L$102)))+((Part2!$C$16/Part2!$D$16)^A9/FACT(A9)*A9/(A9-(Part2!$C$16/Part2!$D$16)))))</f>
        <v>1</v>
      </c>
      <c r="E9" s="54" t="n">
        <f aca="false">IF(F9&lt;=Part2!$G$7,A9,9999)</f>
        <v>9999</v>
      </c>
      <c r="F9" s="55" t="n">
        <f aca="false">IF(A9&lt;=(Part2!$C$17/Part2!$D$17),9999,G9/(A9*Part2!$D$17-Part2!$C$17)*60)</f>
        <v>9999</v>
      </c>
      <c r="G9" s="56" t="n">
        <f aca="false">IF(A9&lt;=(Part2!$C$17/Part2!$D$17),1,((Part2!$C$17/Part2!$D$17)^A9/FACT(A9)*A9/(A9-(Part2!$C$17/Part2!$D$17)))/(SUMPRODUCT(($L$3:$L$102&lt;A9)*((Part2!$C$17/Part2!$D$17)^$L$3:$L$102/FACT($L$3:$L$102)))+((Part2!$C$17/Part2!$D$17)^A9/FACT(A9)*A9/(A9-(Part2!$C$17/Part2!$D$17)))))</f>
        <v>1</v>
      </c>
      <c r="H9" s="54" t="n">
        <f aca="false">IF(I9&lt;=Part2!$G$9,A9,9999)</f>
        <v>9999</v>
      </c>
      <c r="I9" s="55" t="n">
        <f aca="false">IF(A9&lt;=(Part2!$C$18/Part2!$D$18),9999,J9/(A9*Part2!$D$18-Part2!$C$18)*60)</f>
        <v>9999</v>
      </c>
      <c r="J9" s="56" t="n">
        <f aca="false">IF(A9&lt;=(Part2!$C$18/Part2!$D$18),1,((Part2!$C$18/Part2!$D$18)^A9/FACT(A9)*A9/(A9-(Part2!$C$18/Part2!$D$18)))/(SUMPRODUCT(($L$3:$L$102&lt;A9)*((Part2!$C$18/Part2!$D$18)^$L$3:$L$102/FACT($L$3:$L$102)))+((Part2!$C$18/Part2!$D$18)^A9/FACT(A9)*A9/(A9-(Part2!$C$18/Part2!$D$18)))))</f>
        <v>1</v>
      </c>
      <c r="L9" s="0" t="n">
        <v>6</v>
      </c>
    </row>
    <row r="10" customFormat="false" ht="15" hidden="false" customHeight="false" outlineLevel="0" collapsed="false">
      <c r="A10" s="0" t="n">
        <v>8</v>
      </c>
      <c r="B10" s="54" t="n">
        <f aca="false">IF(C10&lt;=Part2!$G$5,A10,9999)</f>
        <v>9999</v>
      </c>
      <c r="C10" s="55" t="n">
        <f aca="false">IF(A10&lt;=(Part2!$C$16/Part2!$D$16),9999,D10/(A10*Part2!$D$16-Part2!$C$16)*60)</f>
        <v>9999</v>
      </c>
      <c r="D10" s="56" t="n">
        <f aca="false">IF(A10&lt;=(Part2!$C$16/Part2!$D$16),1,((Part2!$C$16/Part2!$D$16)^A10/FACT(A10)*A10/(A10-(Part2!$C$16/Part2!$D$16)))/(SUMPRODUCT(($L$3:$L$102&lt;A10)*((Part2!$C$16/Part2!$D$16)^$L$3:$L$102/FACT($L$3:$L$102)))+((Part2!$C$16/Part2!$D$16)^A10/FACT(A10)*A10/(A10-(Part2!$C$16/Part2!$D$16)))))</f>
        <v>1</v>
      </c>
      <c r="E10" s="54" t="n">
        <f aca="false">IF(F10&lt;=Part2!$G$7,A10,9999)</f>
        <v>9999</v>
      </c>
      <c r="F10" s="55" t="n">
        <f aca="false">IF(A10&lt;=(Part2!$C$17/Part2!$D$17),9999,G10/(A10*Part2!$D$17-Part2!$C$17)*60)</f>
        <v>9999</v>
      </c>
      <c r="G10" s="56" t="n">
        <f aca="false">IF(A10&lt;=(Part2!$C$17/Part2!$D$17),1,((Part2!$C$17/Part2!$D$17)^A10/FACT(A10)*A10/(A10-(Part2!$C$17/Part2!$D$17)))/(SUMPRODUCT(($L$3:$L$102&lt;A10)*((Part2!$C$17/Part2!$D$17)^$L$3:$L$102/FACT($L$3:$L$102)))+((Part2!$C$17/Part2!$D$17)^A10/FACT(A10)*A10/(A10-(Part2!$C$17/Part2!$D$17)))))</f>
        <v>1</v>
      </c>
      <c r="H10" s="54" t="n">
        <f aca="false">IF(I10&lt;=Part2!$G$9,A10,9999)</f>
        <v>9999</v>
      </c>
      <c r="I10" s="55" t="n">
        <f aca="false">IF(A10&lt;=(Part2!$C$18/Part2!$D$18),9999,J10/(A10*Part2!$D$18-Part2!$C$18)*60)</f>
        <v>9999</v>
      </c>
      <c r="J10" s="56" t="n">
        <f aca="false">IF(A10&lt;=(Part2!$C$18/Part2!$D$18),1,((Part2!$C$18/Part2!$D$18)^A10/FACT(A10)*A10/(A10-(Part2!$C$18/Part2!$D$18)))/(SUMPRODUCT(($L$3:$L$102&lt;A10)*((Part2!$C$18/Part2!$D$18)^$L$3:$L$102/FACT($L$3:$L$102)))+((Part2!$C$18/Part2!$D$18)^A10/FACT(A10)*A10/(A10-(Part2!$C$18/Part2!$D$18)))))</f>
        <v>1</v>
      </c>
      <c r="L10" s="0" t="n">
        <v>7</v>
      </c>
    </row>
    <row r="11" customFormat="false" ht="15" hidden="false" customHeight="false" outlineLevel="0" collapsed="false">
      <c r="A11" s="0" t="n">
        <v>9</v>
      </c>
      <c r="B11" s="54" t="n">
        <f aca="false">IF(C11&lt;=Part2!$G$5,A11,9999)</f>
        <v>9999</v>
      </c>
      <c r="C11" s="55" t="n">
        <f aca="false">IF(A11&lt;=(Part2!$C$16/Part2!$D$16),9999,D11/(A11*Part2!$D$16-Part2!$C$16)*60)</f>
        <v>9999</v>
      </c>
      <c r="D11" s="56" t="n">
        <f aca="false">IF(A11&lt;=(Part2!$C$16/Part2!$D$16),1,((Part2!$C$16/Part2!$D$16)^A11/FACT(A11)*A11/(A11-(Part2!$C$16/Part2!$D$16)))/(SUMPRODUCT(($L$3:$L$102&lt;A11)*((Part2!$C$16/Part2!$D$16)^$L$3:$L$102/FACT($L$3:$L$102)))+((Part2!$C$16/Part2!$D$16)^A11/FACT(A11)*A11/(A11-(Part2!$C$16/Part2!$D$16)))))</f>
        <v>1</v>
      </c>
      <c r="E11" s="54" t="n">
        <f aca="false">IF(F11&lt;=Part2!$G$7,A11,9999)</f>
        <v>9999</v>
      </c>
      <c r="F11" s="55" t="n">
        <f aca="false">IF(A11&lt;=(Part2!$C$17/Part2!$D$17),9999,G11/(A11*Part2!$D$17-Part2!$C$17)*60)</f>
        <v>9999</v>
      </c>
      <c r="G11" s="56" t="n">
        <f aca="false">IF(A11&lt;=(Part2!$C$17/Part2!$D$17),1,((Part2!$C$17/Part2!$D$17)^A11/FACT(A11)*A11/(A11-(Part2!$C$17/Part2!$D$17)))/(SUMPRODUCT(($L$3:$L$102&lt;A11)*((Part2!$C$17/Part2!$D$17)^$L$3:$L$102/FACT($L$3:$L$102)))+((Part2!$C$17/Part2!$D$17)^A11/FACT(A11)*A11/(A11-(Part2!$C$17/Part2!$D$17)))))</f>
        <v>1</v>
      </c>
      <c r="H11" s="54" t="n">
        <f aca="false">IF(I11&lt;=Part2!$G$9,A11,9999)</f>
        <v>9999</v>
      </c>
      <c r="I11" s="55" t="n">
        <f aca="false">IF(A11&lt;=(Part2!$C$18/Part2!$D$18),9999,J11/(A11*Part2!$D$18-Part2!$C$18)*60)</f>
        <v>9999</v>
      </c>
      <c r="J11" s="56" t="n">
        <f aca="false">IF(A11&lt;=(Part2!$C$18/Part2!$D$18),1,((Part2!$C$18/Part2!$D$18)^A11/FACT(A11)*A11/(A11-(Part2!$C$18/Part2!$D$18)))/(SUMPRODUCT(($L$3:$L$102&lt;A11)*((Part2!$C$18/Part2!$D$18)^$L$3:$L$102/FACT($L$3:$L$102)))+((Part2!$C$18/Part2!$D$18)^A11/FACT(A11)*A11/(A11-(Part2!$C$18/Part2!$D$18)))))</f>
        <v>1</v>
      </c>
      <c r="L11" s="0" t="n">
        <v>8</v>
      </c>
    </row>
    <row r="12" customFormat="false" ht="15" hidden="false" customHeight="false" outlineLevel="0" collapsed="false">
      <c r="A12" s="0" t="n">
        <v>10</v>
      </c>
      <c r="B12" s="54" t="n">
        <f aca="false">IF(C12&lt;=Part2!$G$5,A12,9999)</f>
        <v>9999</v>
      </c>
      <c r="C12" s="55" t="n">
        <f aca="false">IF(A12&lt;=(Part2!$C$16/Part2!$D$16),9999,D12/(A12*Part2!$D$16-Part2!$C$16)*60)</f>
        <v>9999</v>
      </c>
      <c r="D12" s="56" t="n">
        <f aca="false">IF(A12&lt;=(Part2!$C$16/Part2!$D$16),1,((Part2!$C$16/Part2!$D$16)^A12/FACT(A12)*A12/(A12-(Part2!$C$16/Part2!$D$16)))/(SUMPRODUCT(($L$3:$L$102&lt;A12)*((Part2!$C$16/Part2!$D$16)^$L$3:$L$102/FACT($L$3:$L$102)))+((Part2!$C$16/Part2!$D$16)^A12/FACT(A12)*A12/(A12-(Part2!$C$16/Part2!$D$16)))))</f>
        <v>1</v>
      </c>
      <c r="E12" s="54" t="n">
        <f aca="false">IF(F12&lt;=Part2!$G$7,A12,9999)</f>
        <v>9999</v>
      </c>
      <c r="F12" s="55" t="n">
        <f aca="false">IF(A12&lt;=(Part2!$C$17/Part2!$D$17),9999,G12/(A12*Part2!$D$17-Part2!$C$17)*60)</f>
        <v>9999</v>
      </c>
      <c r="G12" s="56" t="n">
        <f aca="false">IF(A12&lt;=(Part2!$C$17/Part2!$D$17),1,((Part2!$C$17/Part2!$D$17)^A12/FACT(A12)*A12/(A12-(Part2!$C$17/Part2!$D$17)))/(SUMPRODUCT(($L$3:$L$102&lt;A12)*((Part2!$C$17/Part2!$D$17)^$L$3:$L$102/FACT($L$3:$L$102)))+((Part2!$C$17/Part2!$D$17)^A12/FACT(A12)*A12/(A12-(Part2!$C$17/Part2!$D$17)))))</f>
        <v>1</v>
      </c>
      <c r="H12" s="54" t="n">
        <f aca="false">IF(I12&lt;=Part2!$G$9,A12,9999)</f>
        <v>9999</v>
      </c>
      <c r="I12" s="55" t="n">
        <f aca="false">IF(A12&lt;=(Part2!$C$18/Part2!$D$18),9999,J12/(A12*Part2!$D$18-Part2!$C$18)*60)</f>
        <v>9999</v>
      </c>
      <c r="J12" s="56" t="n">
        <f aca="false">IF(A12&lt;=(Part2!$C$18/Part2!$D$18),1,((Part2!$C$18/Part2!$D$18)^A12/FACT(A12)*A12/(A12-(Part2!$C$18/Part2!$D$18)))/(SUMPRODUCT(($L$3:$L$102&lt;A12)*((Part2!$C$18/Part2!$D$18)^$L$3:$L$102/FACT($L$3:$L$102)))+((Part2!$C$18/Part2!$D$18)^A12/FACT(A12)*A12/(A12-(Part2!$C$18/Part2!$D$18)))))</f>
        <v>1</v>
      </c>
      <c r="L12" s="0" t="n">
        <v>9</v>
      </c>
    </row>
    <row r="13" customFormat="false" ht="15" hidden="false" customHeight="false" outlineLevel="0" collapsed="false">
      <c r="A13" s="0" t="n">
        <v>11</v>
      </c>
      <c r="B13" s="54" t="n">
        <f aca="false">IF(C13&lt;=Part2!$G$5,A13,9999)</f>
        <v>9999</v>
      </c>
      <c r="C13" s="55" t="n">
        <f aca="false">IF(A13&lt;=(Part2!$C$16/Part2!$D$16),9999,D13/(A13*Part2!$D$16-Part2!$C$16)*60)</f>
        <v>9999</v>
      </c>
      <c r="D13" s="56" t="n">
        <f aca="false">IF(A13&lt;=(Part2!$C$16/Part2!$D$16),1,((Part2!$C$16/Part2!$D$16)^A13/FACT(A13)*A13/(A13-(Part2!$C$16/Part2!$D$16)))/(SUMPRODUCT(($L$3:$L$102&lt;A13)*((Part2!$C$16/Part2!$D$16)^$L$3:$L$102/FACT($L$3:$L$102)))+((Part2!$C$16/Part2!$D$16)^A13/FACT(A13)*A13/(A13-(Part2!$C$16/Part2!$D$16)))))</f>
        <v>1</v>
      </c>
      <c r="E13" s="54" t="n">
        <f aca="false">IF(F13&lt;=Part2!$G$7,A13,9999)</f>
        <v>9999</v>
      </c>
      <c r="F13" s="55" t="n">
        <f aca="false">IF(A13&lt;=(Part2!$C$17/Part2!$D$17),9999,G13/(A13*Part2!$D$17-Part2!$C$17)*60)</f>
        <v>9999</v>
      </c>
      <c r="G13" s="56" t="n">
        <f aca="false">IF(A13&lt;=(Part2!$C$17/Part2!$D$17),1,((Part2!$C$17/Part2!$D$17)^A13/FACT(A13)*A13/(A13-(Part2!$C$17/Part2!$D$17)))/(SUMPRODUCT(($L$3:$L$102&lt;A13)*((Part2!$C$17/Part2!$D$17)^$L$3:$L$102/FACT($L$3:$L$102)))+((Part2!$C$17/Part2!$D$17)^A13/FACT(A13)*A13/(A13-(Part2!$C$17/Part2!$D$17)))))</f>
        <v>1</v>
      </c>
      <c r="H13" s="54" t="n">
        <f aca="false">IF(I13&lt;=Part2!$G$9,A13,9999)</f>
        <v>9999</v>
      </c>
      <c r="I13" s="55" t="n">
        <f aca="false">IF(A13&lt;=(Part2!$C$18/Part2!$D$18),9999,J13/(A13*Part2!$D$18-Part2!$C$18)*60)</f>
        <v>9999</v>
      </c>
      <c r="J13" s="56" t="n">
        <f aca="false">IF(A13&lt;=(Part2!$C$18/Part2!$D$18),1,((Part2!$C$18/Part2!$D$18)^A13/FACT(A13)*A13/(A13-(Part2!$C$18/Part2!$D$18)))/(SUMPRODUCT(($L$3:$L$102&lt;A13)*((Part2!$C$18/Part2!$D$18)^$L$3:$L$102/FACT($L$3:$L$102)))+((Part2!$C$18/Part2!$D$18)^A13/FACT(A13)*A13/(A13-(Part2!$C$18/Part2!$D$18)))))</f>
        <v>1</v>
      </c>
      <c r="L13" s="0" t="n">
        <v>10</v>
      </c>
    </row>
    <row r="14" customFormat="false" ht="15" hidden="false" customHeight="false" outlineLevel="0" collapsed="false">
      <c r="A14" s="0" t="n">
        <v>12</v>
      </c>
      <c r="B14" s="54" t="n">
        <f aca="false">IF(C14&lt;=Part2!$G$5,A14,9999)</f>
        <v>9999</v>
      </c>
      <c r="C14" s="55" t="n">
        <f aca="false">IF(A14&lt;=(Part2!$C$16/Part2!$D$16),9999,D14/(A14*Part2!$D$16-Part2!$C$16)*60)</f>
        <v>9999</v>
      </c>
      <c r="D14" s="56" t="n">
        <f aca="false">IF(A14&lt;=(Part2!$C$16/Part2!$D$16),1,((Part2!$C$16/Part2!$D$16)^A14/FACT(A14)*A14/(A14-(Part2!$C$16/Part2!$D$16)))/(SUMPRODUCT(($L$3:$L$102&lt;A14)*((Part2!$C$16/Part2!$D$16)^$L$3:$L$102/FACT($L$3:$L$102)))+((Part2!$C$16/Part2!$D$16)^A14/FACT(A14)*A14/(A14-(Part2!$C$16/Part2!$D$16)))))</f>
        <v>1</v>
      </c>
      <c r="E14" s="54" t="n">
        <f aca="false">IF(F14&lt;=Part2!$G$7,A14,9999)</f>
        <v>9999</v>
      </c>
      <c r="F14" s="55" t="n">
        <f aca="false">IF(A14&lt;=(Part2!$C$17/Part2!$D$17),9999,G14/(A14*Part2!$D$17-Part2!$C$17)*60)</f>
        <v>9999</v>
      </c>
      <c r="G14" s="56" t="n">
        <f aca="false">IF(A14&lt;=(Part2!$C$17/Part2!$D$17),1,((Part2!$C$17/Part2!$D$17)^A14/FACT(A14)*A14/(A14-(Part2!$C$17/Part2!$D$17)))/(SUMPRODUCT(($L$3:$L$102&lt;A14)*((Part2!$C$17/Part2!$D$17)^$L$3:$L$102/FACT($L$3:$L$102)))+((Part2!$C$17/Part2!$D$17)^A14/FACT(A14)*A14/(A14-(Part2!$C$17/Part2!$D$17)))))</f>
        <v>1</v>
      </c>
      <c r="H14" s="54" t="n">
        <f aca="false">IF(I14&lt;=Part2!$G$9,A14,9999)</f>
        <v>9999</v>
      </c>
      <c r="I14" s="55" t="n">
        <f aca="false">IF(A14&lt;=(Part2!$C$18/Part2!$D$18),9999,J14/(A14*Part2!$D$18-Part2!$C$18)*60)</f>
        <v>9999</v>
      </c>
      <c r="J14" s="56" t="n">
        <f aca="false">IF(A14&lt;=(Part2!$C$18/Part2!$D$18),1,((Part2!$C$18/Part2!$D$18)^A14/FACT(A14)*A14/(A14-(Part2!$C$18/Part2!$D$18)))/(SUMPRODUCT(($L$3:$L$102&lt;A14)*((Part2!$C$18/Part2!$D$18)^$L$3:$L$102/FACT($L$3:$L$102)))+((Part2!$C$18/Part2!$D$18)^A14/FACT(A14)*A14/(A14-(Part2!$C$18/Part2!$D$18)))))</f>
        <v>1</v>
      </c>
      <c r="L14" s="0" t="n">
        <v>11</v>
      </c>
    </row>
    <row r="15" customFormat="false" ht="15" hidden="false" customHeight="false" outlineLevel="0" collapsed="false">
      <c r="A15" s="0" t="n">
        <v>13</v>
      </c>
      <c r="B15" s="54" t="n">
        <f aca="false">IF(C15&lt;=Part2!$G$5,A15,9999)</f>
        <v>9999</v>
      </c>
      <c r="C15" s="55" t="n">
        <f aca="false">IF(A15&lt;=(Part2!$C$16/Part2!$D$16),9999,D15/(A15*Part2!$D$16-Part2!$C$16)*60)</f>
        <v>9999</v>
      </c>
      <c r="D15" s="56" t="n">
        <f aca="false">IF(A15&lt;=(Part2!$C$16/Part2!$D$16),1,((Part2!$C$16/Part2!$D$16)^A15/FACT(A15)*A15/(A15-(Part2!$C$16/Part2!$D$16)))/(SUMPRODUCT(($L$3:$L$102&lt;A15)*((Part2!$C$16/Part2!$D$16)^$L$3:$L$102/FACT($L$3:$L$102)))+((Part2!$C$16/Part2!$D$16)^A15/FACT(A15)*A15/(A15-(Part2!$C$16/Part2!$D$16)))))</f>
        <v>1</v>
      </c>
      <c r="E15" s="54" t="n">
        <f aca="false">IF(F15&lt;=Part2!$G$7,A15,9999)</f>
        <v>9999</v>
      </c>
      <c r="F15" s="55" t="n">
        <f aca="false">IF(A15&lt;=(Part2!$C$17/Part2!$D$17),9999,G15/(A15*Part2!$D$17-Part2!$C$17)*60)</f>
        <v>9999</v>
      </c>
      <c r="G15" s="56" t="n">
        <f aca="false">IF(A15&lt;=(Part2!$C$17/Part2!$D$17),1,((Part2!$C$17/Part2!$D$17)^A15/FACT(A15)*A15/(A15-(Part2!$C$17/Part2!$D$17)))/(SUMPRODUCT(($L$3:$L$102&lt;A15)*((Part2!$C$17/Part2!$D$17)^$L$3:$L$102/FACT($L$3:$L$102)))+((Part2!$C$17/Part2!$D$17)^A15/FACT(A15)*A15/(A15-(Part2!$C$17/Part2!$D$17)))))</f>
        <v>1</v>
      </c>
      <c r="H15" s="54" t="n">
        <f aca="false">IF(I15&lt;=Part2!$G$9,A15,9999)</f>
        <v>9999</v>
      </c>
      <c r="I15" s="55" t="n">
        <f aca="false">IF(A15&lt;=(Part2!$C$18/Part2!$D$18),9999,J15/(A15*Part2!$D$18-Part2!$C$18)*60)</f>
        <v>9999</v>
      </c>
      <c r="J15" s="56" t="n">
        <f aca="false">IF(A15&lt;=(Part2!$C$18/Part2!$D$18),1,((Part2!$C$18/Part2!$D$18)^A15/FACT(A15)*A15/(A15-(Part2!$C$18/Part2!$D$18)))/(SUMPRODUCT(($L$3:$L$102&lt;A15)*((Part2!$C$18/Part2!$D$18)^$L$3:$L$102/FACT($L$3:$L$102)))+((Part2!$C$18/Part2!$D$18)^A15/FACT(A15)*A15/(A15-(Part2!$C$18/Part2!$D$18)))))</f>
        <v>1</v>
      </c>
      <c r="L15" s="0" t="n">
        <v>12</v>
      </c>
    </row>
    <row r="16" customFormat="false" ht="15" hidden="false" customHeight="false" outlineLevel="0" collapsed="false">
      <c r="A16" s="0" t="n">
        <v>14</v>
      </c>
      <c r="B16" s="54" t="n">
        <f aca="false">IF(C16&lt;=Part2!$G$5,A16,9999)</f>
        <v>9999</v>
      </c>
      <c r="C16" s="55" t="n">
        <f aca="false">IF(A16&lt;=(Part2!$C$16/Part2!$D$16),9999,D16/(A16*Part2!$D$16-Part2!$C$16)*60)</f>
        <v>9999</v>
      </c>
      <c r="D16" s="56" t="n">
        <f aca="false">IF(A16&lt;=(Part2!$C$16/Part2!$D$16),1,((Part2!$C$16/Part2!$D$16)^A16/FACT(A16)*A16/(A16-(Part2!$C$16/Part2!$D$16)))/(SUMPRODUCT(($L$3:$L$102&lt;A16)*((Part2!$C$16/Part2!$D$16)^$L$3:$L$102/FACT($L$3:$L$102)))+((Part2!$C$16/Part2!$D$16)^A16/FACT(A16)*A16/(A16-(Part2!$C$16/Part2!$D$16)))))</f>
        <v>1</v>
      </c>
      <c r="E16" s="54" t="n">
        <f aca="false">IF(F16&lt;=Part2!$G$7,A16,9999)</f>
        <v>9999</v>
      </c>
      <c r="F16" s="55" t="n">
        <f aca="false">IF(A16&lt;=(Part2!$C$17/Part2!$D$17),9999,G16/(A16*Part2!$D$17-Part2!$C$17)*60)</f>
        <v>9999</v>
      </c>
      <c r="G16" s="56" t="n">
        <f aca="false">IF(A16&lt;=(Part2!$C$17/Part2!$D$17),1,((Part2!$C$17/Part2!$D$17)^A16/FACT(A16)*A16/(A16-(Part2!$C$17/Part2!$D$17)))/(SUMPRODUCT(($L$3:$L$102&lt;A16)*((Part2!$C$17/Part2!$D$17)^$L$3:$L$102/FACT($L$3:$L$102)))+((Part2!$C$17/Part2!$D$17)^A16/FACT(A16)*A16/(A16-(Part2!$C$17/Part2!$D$17)))))</f>
        <v>1</v>
      </c>
      <c r="H16" s="54" t="n">
        <f aca="false">IF(I16&lt;=Part2!$G$9,A16,9999)</f>
        <v>14</v>
      </c>
      <c r="I16" s="55" t="n">
        <f aca="false">IF(A16&lt;=(Part2!$C$18/Part2!$D$18),9999,J16/(A16*Part2!$D$18-Part2!$C$18)*60)</f>
        <v>0.838272119297968</v>
      </c>
      <c r="J16" s="56" t="n">
        <f aca="false">IF(A16&lt;=(Part2!$C$18/Part2!$D$18),1,((Part2!$C$18/Part2!$D$18)^A16/FACT(A16)*A16/(A16-(Part2!$C$18/Part2!$D$18)))/(SUMPRODUCT(($L$3:$L$102&lt;A16)*((Part2!$C$18/Part2!$D$18)^$L$3:$L$102/FACT($L$3:$L$102)))+((Part2!$C$18/Part2!$D$18)^A16/FACT(A16)*A16/(A16-(Part2!$C$18/Part2!$D$18)))))</f>
        <v>0.743463542605367</v>
      </c>
      <c r="L16" s="0" t="n">
        <v>13</v>
      </c>
    </row>
    <row r="17" customFormat="false" ht="15" hidden="false" customHeight="false" outlineLevel="0" collapsed="false">
      <c r="A17" s="0" t="n">
        <v>15</v>
      </c>
      <c r="B17" s="54" t="n">
        <f aca="false">IF(C17&lt;=Part2!$G$5,A17,9999)</f>
        <v>9999</v>
      </c>
      <c r="C17" s="55" t="n">
        <f aca="false">IF(A17&lt;=(Part2!$C$16/Part2!$D$16),9999,D17/(A17*Part2!$D$16-Part2!$C$16)*60)</f>
        <v>9999</v>
      </c>
      <c r="D17" s="56" t="n">
        <f aca="false">IF(A17&lt;=(Part2!$C$16/Part2!$D$16),1,((Part2!$C$16/Part2!$D$16)^A17/FACT(A17)*A17/(A17-(Part2!$C$16/Part2!$D$16)))/(SUMPRODUCT(($L$3:$L$102&lt;A17)*((Part2!$C$16/Part2!$D$16)^$L$3:$L$102/FACT($L$3:$L$102)))+((Part2!$C$16/Part2!$D$16)^A17/FACT(A17)*A17/(A17-(Part2!$C$16/Part2!$D$16)))))</f>
        <v>1</v>
      </c>
      <c r="E17" s="54" t="n">
        <f aca="false">IF(F17&lt;=Part2!$G$7,A17,9999)</f>
        <v>9999</v>
      </c>
      <c r="F17" s="55" t="n">
        <f aca="false">IF(A17&lt;=(Part2!$C$17/Part2!$D$17),9999,G17/(A17*Part2!$D$17-Part2!$C$17)*60)</f>
        <v>9999</v>
      </c>
      <c r="G17" s="56" t="n">
        <f aca="false">IF(A17&lt;=(Part2!$C$17/Part2!$D$17),1,((Part2!$C$17/Part2!$D$17)^A17/FACT(A17)*A17/(A17-(Part2!$C$17/Part2!$D$17)))/(SUMPRODUCT(($L$3:$L$102&lt;A17)*((Part2!$C$17/Part2!$D$17)^$L$3:$L$102/FACT($L$3:$L$102)))+((Part2!$C$17/Part2!$D$17)^A17/FACT(A17)*A17/(A17-(Part2!$C$17/Part2!$D$17)))))</f>
        <v>1</v>
      </c>
      <c r="H17" s="54" t="n">
        <f aca="false">IF(I17&lt;=Part2!$G$9,A17,9999)</f>
        <v>15</v>
      </c>
      <c r="I17" s="55" t="n">
        <f aca="false">IF(A17&lt;=(Part2!$C$18/Part2!$D$18),9999,J17/(A17*Part2!$D$18-Part2!$C$18)*60)</f>
        <v>0.274929070319227</v>
      </c>
      <c r="J17" s="56" t="n">
        <f aca="false">IF(A17&lt;=(Part2!$C$18/Part2!$D$18),1,((Part2!$C$18/Part2!$D$18)^A17/FACT(A17)*A17/(A17-(Part2!$C$18/Part2!$D$18)))/(SUMPRODUCT(($L$3:$L$102&lt;A17)*((Part2!$C$18/Part2!$D$18)^$L$3:$L$102/FACT($L$3:$L$102)))+((Part2!$C$18/Part2!$D$18)^A17/FACT(A17)*A17/(A17-(Part2!$C$18/Part2!$D$18)))))</f>
        <v>0.518763662785349</v>
      </c>
      <c r="L17" s="0" t="n">
        <v>14</v>
      </c>
    </row>
    <row r="18" customFormat="false" ht="15" hidden="false" customHeight="false" outlineLevel="0" collapsed="false">
      <c r="A18" s="0" t="n">
        <v>16</v>
      </c>
      <c r="B18" s="54" t="n">
        <f aca="false">IF(C18&lt;=Part2!$G$5,A18,9999)</f>
        <v>9999</v>
      </c>
      <c r="C18" s="55" t="n">
        <f aca="false">IF(A18&lt;=(Part2!$C$16/Part2!$D$16),9999,D18/(A18*Part2!$D$16-Part2!$C$16)*60)</f>
        <v>9999</v>
      </c>
      <c r="D18" s="56" t="n">
        <f aca="false">IF(A18&lt;=(Part2!$C$16/Part2!$D$16),1,((Part2!$C$16/Part2!$D$16)^A18/FACT(A18)*A18/(A18-(Part2!$C$16/Part2!$D$16)))/(SUMPRODUCT(($L$3:$L$102&lt;A18)*((Part2!$C$16/Part2!$D$16)^$L$3:$L$102/FACT($L$3:$L$102)))+((Part2!$C$16/Part2!$D$16)^A18/FACT(A18)*A18/(A18-(Part2!$C$16/Part2!$D$16)))))</f>
        <v>1</v>
      </c>
      <c r="E18" s="54" t="n">
        <f aca="false">IF(F18&lt;=Part2!$G$7,A18,9999)</f>
        <v>9999</v>
      </c>
      <c r="F18" s="55" t="n">
        <f aca="false">IF(A18&lt;=(Part2!$C$17/Part2!$D$17),9999,G18/(A18*Part2!$D$17-Part2!$C$17)*60)</f>
        <v>9999</v>
      </c>
      <c r="G18" s="56" t="n">
        <f aca="false">IF(A18&lt;=(Part2!$C$17/Part2!$D$17),1,((Part2!$C$17/Part2!$D$17)^A18/FACT(A18)*A18/(A18-(Part2!$C$17/Part2!$D$17)))/(SUMPRODUCT(($L$3:$L$102&lt;A18)*((Part2!$C$17/Part2!$D$17)^$L$3:$L$102/FACT($L$3:$L$102)))+((Part2!$C$17/Part2!$D$17)^A18/FACT(A18)*A18/(A18-(Part2!$C$17/Part2!$D$17)))))</f>
        <v>1</v>
      </c>
      <c r="H18" s="54" t="n">
        <f aca="false">IF(I18&lt;=Part2!$G$9,A18,9999)</f>
        <v>16</v>
      </c>
      <c r="I18" s="55" t="n">
        <f aca="false">IF(A18&lt;=(Part2!$C$18/Part2!$D$18),9999,J18/(A18*Part2!$D$18-Part2!$C$18)*60)</f>
        <v>0.121811555647927</v>
      </c>
      <c r="J18" s="56" t="n">
        <f aca="false">IF(A18&lt;=(Part2!$C$18/Part2!$D$18),1,((Part2!$C$18/Part2!$D$18)^A18/FACT(A18)*A18/(A18-(Part2!$C$18/Part2!$D$18)))/(SUMPRODUCT(($L$3:$L$102&lt;A18)*((Part2!$C$18/Part2!$D$18)^$L$3:$L$102/FACT($L$3:$L$102)))+((Part2!$C$18/Part2!$D$18)^A18/FACT(A18)*A18/(A18-(Part2!$C$18/Part2!$D$18)))))</f>
        <v>0.351657780000001</v>
      </c>
      <c r="L18" s="0" t="n">
        <v>15</v>
      </c>
    </row>
    <row r="19" customFormat="false" ht="15" hidden="false" customHeight="false" outlineLevel="0" collapsed="false">
      <c r="A19" s="0" t="n">
        <v>17</v>
      </c>
      <c r="B19" s="54" t="n">
        <f aca="false">IF(C19&lt;=Part2!$G$5,A19,9999)</f>
        <v>9999</v>
      </c>
      <c r="C19" s="55" t="n">
        <f aca="false">IF(A19&lt;=(Part2!$C$16/Part2!$D$16),9999,D19/(A19*Part2!$D$16-Part2!$C$16)*60)</f>
        <v>9999</v>
      </c>
      <c r="D19" s="56" t="n">
        <f aca="false">IF(A19&lt;=(Part2!$C$16/Part2!$D$16),1,((Part2!$C$16/Part2!$D$16)^A19/FACT(A19)*A19/(A19-(Part2!$C$16/Part2!$D$16)))/(SUMPRODUCT(($L$3:$L$102&lt;A19)*((Part2!$C$16/Part2!$D$16)^$L$3:$L$102/FACT($L$3:$L$102)))+((Part2!$C$16/Part2!$D$16)^A19/FACT(A19)*A19/(A19-(Part2!$C$16/Part2!$D$16)))))</f>
        <v>1</v>
      </c>
      <c r="E19" s="54" t="n">
        <f aca="false">IF(F19&lt;=Part2!$G$7,A19,9999)</f>
        <v>9999</v>
      </c>
      <c r="F19" s="55" t="n">
        <f aca="false">IF(A19&lt;=(Part2!$C$17/Part2!$D$17),9999,G19/(A19*Part2!$D$17-Part2!$C$17)*60)</f>
        <v>9999</v>
      </c>
      <c r="G19" s="56" t="n">
        <f aca="false">IF(A19&lt;=(Part2!$C$17/Part2!$D$17),1,((Part2!$C$17/Part2!$D$17)^A19/FACT(A19)*A19/(A19-(Part2!$C$17/Part2!$D$17)))/(SUMPRODUCT(($L$3:$L$102&lt;A19)*((Part2!$C$17/Part2!$D$17)^$L$3:$L$102/FACT($L$3:$L$102)))+((Part2!$C$17/Part2!$D$17)^A19/FACT(A19)*A19/(A19-(Part2!$C$17/Part2!$D$17)))))</f>
        <v>1</v>
      </c>
      <c r="H19" s="54" t="n">
        <f aca="false">IF(I19&lt;=Part2!$G$9,A19,9999)</f>
        <v>17</v>
      </c>
      <c r="I19" s="55" t="n">
        <f aca="false">IF(A19&lt;=(Part2!$C$18/Part2!$D$18),9999,J19/(A19*Part2!$D$18-Part2!$C$18)*60)</f>
        <v>0.0594825094464705</v>
      </c>
      <c r="J19" s="56" t="n">
        <f aca="false">IF(A19&lt;=(Part2!$C$18/Part2!$D$18),1,((Part2!$C$18/Part2!$D$18)^A19/FACT(A19)*A19/(A19-(Part2!$C$18/Part2!$D$18)))/(SUMPRODUCT(($L$3:$L$102&lt;A19)*((Part2!$C$18/Part2!$D$18)^$L$3:$L$102/FACT($L$3:$L$102)))+((Part2!$C$18/Part2!$D$18)^A19/FACT(A19)*A19/(A19-(Part2!$C$18/Part2!$D$18)))))</f>
        <v>0.231202565967486</v>
      </c>
      <c r="L19" s="0" t="n">
        <v>16</v>
      </c>
    </row>
    <row r="20" customFormat="false" ht="15" hidden="false" customHeight="false" outlineLevel="0" collapsed="false">
      <c r="A20" s="0" t="n">
        <v>18</v>
      </c>
      <c r="B20" s="54" t="n">
        <f aca="false">IF(C20&lt;=Part2!$G$5,A20,9999)</f>
        <v>9999</v>
      </c>
      <c r="C20" s="55" t="n">
        <f aca="false">IF(A20&lt;=(Part2!$C$16/Part2!$D$16),9999,D20/(A20*Part2!$D$16-Part2!$C$16)*60)</f>
        <v>9999</v>
      </c>
      <c r="D20" s="56" t="n">
        <f aca="false">IF(A20&lt;=(Part2!$C$16/Part2!$D$16),1,((Part2!$C$16/Part2!$D$16)^A20/FACT(A20)*A20/(A20-(Part2!$C$16/Part2!$D$16)))/(SUMPRODUCT(($L$3:$L$102&lt;A20)*((Part2!$C$16/Part2!$D$16)^$L$3:$L$102/FACT($L$3:$L$102)))+((Part2!$C$16/Part2!$D$16)^A20/FACT(A20)*A20/(A20-(Part2!$C$16/Part2!$D$16)))))</f>
        <v>1</v>
      </c>
      <c r="E20" s="54" t="n">
        <f aca="false">IF(F20&lt;=Part2!$G$7,A20,9999)</f>
        <v>9999</v>
      </c>
      <c r="F20" s="55" t="n">
        <f aca="false">IF(A20&lt;=(Part2!$C$17/Part2!$D$17),9999,G20/(A20*Part2!$D$17-Part2!$C$17)*60)</f>
        <v>9999</v>
      </c>
      <c r="G20" s="56" t="n">
        <f aca="false">IF(A20&lt;=(Part2!$C$17/Part2!$D$17),1,((Part2!$C$17/Part2!$D$17)^A20/FACT(A20)*A20/(A20-(Part2!$C$17/Part2!$D$17)))/(SUMPRODUCT(($L$3:$L$102&lt;A20)*((Part2!$C$17/Part2!$D$17)^$L$3:$L$102/FACT($L$3:$L$102)))+((Part2!$C$17/Part2!$D$17)^A20/FACT(A20)*A20/(A20-(Part2!$C$17/Part2!$D$17)))))</f>
        <v>1</v>
      </c>
      <c r="H20" s="54" t="n">
        <f aca="false">IF(I20&lt;=Part2!$G$9,A20,9999)</f>
        <v>18</v>
      </c>
      <c r="I20" s="55" t="n">
        <f aca="false">IF(A20&lt;=(Part2!$C$18/Part2!$D$18),9999,J20/(A20*Part2!$D$18-Part2!$C$18)*60)</f>
        <v>0.0301252681075886</v>
      </c>
      <c r="J20" s="56" t="n">
        <f aca="false">IF(A20&lt;=(Part2!$C$18/Part2!$D$18),1,((Part2!$C$18/Part2!$D$18)^A20/FACT(A20)*A20/(A20-(Part2!$C$18/Part2!$D$18)))/(SUMPRODUCT(($L$3:$L$102&lt;A20)*((Part2!$C$18/Part2!$D$18)^$L$3:$L$102/FACT($L$3:$L$102)))+((Part2!$C$18/Part2!$D$18)^A20/FACT(A20)*A20/(A20-(Part2!$C$18/Part2!$D$18)))))</f>
        <v>0.147219172714975</v>
      </c>
      <c r="L20" s="0" t="n">
        <v>17</v>
      </c>
    </row>
    <row r="21" customFormat="false" ht="15" hidden="false" customHeight="false" outlineLevel="0" collapsed="false">
      <c r="A21" s="0" t="n">
        <v>19</v>
      </c>
      <c r="B21" s="54" t="n">
        <f aca="false">IF(C21&lt;=Part2!$G$5,A21,9999)</f>
        <v>9999</v>
      </c>
      <c r="C21" s="55" t="n">
        <f aca="false">IF(A21&lt;=(Part2!$C$16/Part2!$D$16),9999,D21/(A21*Part2!$D$16-Part2!$C$16)*60)</f>
        <v>9999</v>
      </c>
      <c r="D21" s="56" t="n">
        <f aca="false">IF(A21&lt;=(Part2!$C$16/Part2!$D$16),1,((Part2!$C$16/Part2!$D$16)^A21/FACT(A21)*A21/(A21-(Part2!$C$16/Part2!$D$16)))/(SUMPRODUCT(($L$3:$L$102&lt;A21)*((Part2!$C$16/Part2!$D$16)^$L$3:$L$102/FACT($L$3:$L$102)))+((Part2!$C$16/Part2!$D$16)^A21/FACT(A21)*A21/(A21-(Part2!$C$16/Part2!$D$16)))))</f>
        <v>1</v>
      </c>
      <c r="E21" s="54" t="n">
        <f aca="false">IF(F21&lt;=Part2!$G$7,A21,9999)</f>
        <v>9999</v>
      </c>
      <c r="F21" s="55" t="n">
        <f aca="false">IF(A21&lt;=(Part2!$C$17/Part2!$D$17),9999,G21/(A21*Part2!$D$17-Part2!$C$17)*60)</f>
        <v>9999</v>
      </c>
      <c r="G21" s="56" t="n">
        <f aca="false">IF(A21&lt;=(Part2!$C$17/Part2!$D$17),1,((Part2!$C$17/Part2!$D$17)^A21/FACT(A21)*A21/(A21-(Part2!$C$17/Part2!$D$17)))/(SUMPRODUCT(($L$3:$L$102&lt;A21)*((Part2!$C$17/Part2!$D$17)^$L$3:$L$102/FACT($L$3:$L$102)))+((Part2!$C$17/Part2!$D$17)^A21/FACT(A21)*A21/(A21-(Part2!$C$17/Part2!$D$17)))))</f>
        <v>1</v>
      </c>
      <c r="H21" s="54" t="n">
        <f aca="false">IF(I21&lt;=Part2!$G$9,A21,9999)</f>
        <v>19</v>
      </c>
      <c r="I21" s="55" t="n">
        <f aca="false">IF(A21&lt;=(Part2!$C$18/Part2!$D$18),9999,J21/(A21*Part2!$D$18-Part2!$C$18)*60)</f>
        <v>0.0154043186574598</v>
      </c>
      <c r="J21" s="56" t="n">
        <f aca="false">IF(A21&lt;=(Part2!$C$18/Part2!$D$18),1,((Part2!$C$18/Part2!$D$18)^A21/FACT(A21)*A21/(A21-(Part2!$C$18/Part2!$D$18)))/(SUMPRODUCT(($L$3:$L$102&lt;A21)*((Part2!$C$18/Part2!$D$18)^$L$3:$L$102/FACT($L$3:$L$102)))+((Part2!$C$18/Part2!$D$18)^A21/FACT(A21)*A21/(A21-(Part2!$C$18/Part2!$D$18)))))</f>
        <v>0.0906836835045998</v>
      </c>
      <c r="L21" s="0" t="n">
        <v>18</v>
      </c>
    </row>
    <row r="22" customFormat="false" ht="15" hidden="false" customHeight="false" outlineLevel="0" collapsed="false">
      <c r="A22" s="0" t="n">
        <v>20</v>
      </c>
      <c r="B22" s="54" t="n">
        <f aca="false">IF(C22&lt;=Part2!$G$5,A22,9999)</f>
        <v>9999</v>
      </c>
      <c r="C22" s="55" t="n">
        <f aca="false">IF(A22&lt;=(Part2!$C$16/Part2!$D$16),9999,D22/(A22*Part2!$D$16-Part2!$C$16)*60)</f>
        <v>9999</v>
      </c>
      <c r="D22" s="56" t="n">
        <f aca="false">IF(A22&lt;=(Part2!$C$16/Part2!$D$16),1,((Part2!$C$16/Part2!$D$16)^A22/FACT(A22)*A22/(A22-(Part2!$C$16/Part2!$D$16)))/(SUMPRODUCT(($L$3:$L$102&lt;A22)*((Part2!$C$16/Part2!$D$16)^$L$3:$L$102/FACT($L$3:$L$102)))+((Part2!$C$16/Part2!$D$16)^A22/FACT(A22)*A22/(A22-(Part2!$C$16/Part2!$D$16)))))</f>
        <v>1</v>
      </c>
      <c r="E22" s="54" t="n">
        <f aca="false">IF(F22&lt;=Part2!$G$7,A22,9999)</f>
        <v>9999</v>
      </c>
      <c r="F22" s="55" t="n">
        <f aca="false">IF(A22&lt;=(Part2!$C$17/Part2!$D$17),9999,G22/(A22*Part2!$D$17-Part2!$C$17)*60)</f>
        <v>9999</v>
      </c>
      <c r="G22" s="56" t="n">
        <f aca="false">IF(A22&lt;=(Part2!$C$17/Part2!$D$17),1,((Part2!$C$17/Part2!$D$17)^A22/FACT(A22)*A22/(A22-(Part2!$C$17/Part2!$D$17)))/(SUMPRODUCT(($L$3:$L$102&lt;A22)*((Part2!$C$17/Part2!$D$17)^$L$3:$L$102/FACT($L$3:$L$102)))+((Part2!$C$17/Part2!$D$17)^A22/FACT(A22)*A22/(A22-(Part2!$C$17/Part2!$D$17)))))</f>
        <v>1</v>
      </c>
      <c r="H22" s="54" t="n">
        <f aca="false">IF(I22&lt;=Part2!$G$9,A22,9999)</f>
        <v>20</v>
      </c>
      <c r="I22" s="55" t="n">
        <f aca="false">IF(A22&lt;=(Part2!$C$18/Part2!$D$18),9999,J22/(A22*Part2!$D$18-Part2!$C$18)*60)</f>
        <v>0.00783943636550956</v>
      </c>
      <c r="J22" s="56" t="n">
        <f aca="false">IF(A22&lt;=(Part2!$C$18/Part2!$D$18),1,((Part2!$C$18/Part2!$D$18)^A22/FACT(A22)*A22/(A22-(Part2!$C$18/Part2!$D$18)))/(SUMPRODUCT(($L$3:$L$102&lt;A22)*((Part2!$C$18/Part2!$D$18)^$L$3:$L$102/FACT($L$3:$L$102)))+((Part2!$C$18/Part2!$D$18)^A22/FACT(A22)*A22/(A22-(Part2!$C$18/Part2!$D$18)))))</f>
        <v>0.0539894143056278</v>
      </c>
      <c r="L22" s="0" t="n">
        <v>19</v>
      </c>
    </row>
    <row r="23" customFormat="false" ht="15" hidden="false" customHeight="false" outlineLevel="0" collapsed="false">
      <c r="A23" s="0" t="n">
        <v>21</v>
      </c>
      <c r="B23" s="54" t="n">
        <f aca="false">IF(C23&lt;=Part2!$G$5,A23,9999)</f>
        <v>9999</v>
      </c>
      <c r="C23" s="55" t="n">
        <f aca="false">IF(A23&lt;=(Part2!$C$16/Part2!$D$16),9999,D23/(A23*Part2!$D$16-Part2!$C$16)*60)</f>
        <v>9999</v>
      </c>
      <c r="D23" s="56" t="n">
        <f aca="false">IF(A23&lt;=(Part2!$C$16/Part2!$D$16),1,((Part2!$C$16/Part2!$D$16)^A23/FACT(A23)*A23/(A23-(Part2!$C$16/Part2!$D$16)))/(SUMPRODUCT(($L$3:$L$102&lt;A23)*((Part2!$C$16/Part2!$D$16)^$L$3:$L$102/FACT($L$3:$L$102)))+((Part2!$C$16/Part2!$D$16)^A23/FACT(A23)*A23/(A23-(Part2!$C$16/Part2!$D$16)))))</f>
        <v>1</v>
      </c>
      <c r="E23" s="54" t="n">
        <f aca="false">IF(F23&lt;=Part2!$G$7,A23,9999)</f>
        <v>9999</v>
      </c>
      <c r="F23" s="55" t="n">
        <f aca="false">IF(A23&lt;=(Part2!$C$17/Part2!$D$17),9999,G23/(A23*Part2!$D$17-Part2!$C$17)*60)</f>
        <v>9999</v>
      </c>
      <c r="G23" s="56" t="n">
        <f aca="false">IF(A23&lt;=(Part2!$C$17/Part2!$D$17),1,((Part2!$C$17/Part2!$D$17)^A23/FACT(A23)*A23/(A23-(Part2!$C$17/Part2!$D$17)))/(SUMPRODUCT(($L$3:$L$102&lt;A23)*((Part2!$C$17/Part2!$D$17)^$L$3:$L$102/FACT($L$3:$L$102)))+((Part2!$C$17/Part2!$D$17)^A23/FACT(A23)*A23/(A23-(Part2!$C$17/Part2!$D$17)))))</f>
        <v>1</v>
      </c>
      <c r="H23" s="54" t="n">
        <f aca="false">IF(I23&lt;=Part2!$G$9,A23,9999)</f>
        <v>21</v>
      </c>
      <c r="I23" s="55" t="n">
        <f aca="false">IF(A23&lt;=(Part2!$C$18/Part2!$D$18),9999,J23/(A23*Part2!$D$18-Part2!$C$18)*60)</f>
        <v>0.00393684860841851</v>
      </c>
      <c r="J23" s="56" t="n">
        <f aca="false">IF(A23&lt;=(Part2!$C$18/Part2!$D$18),1,((Part2!$C$18/Part2!$D$18)^A23/FACT(A23)*A23/(A23-(Part2!$C$18/Part2!$D$18)))/(SUMPRODUCT(($L$3:$L$102&lt;A23)*((Part2!$C$18/Part2!$D$18)^$L$3:$L$102/FACT($L$3:$L$102)))+((Part2!$C$18/Part2!$D$18)^A23/FACT(A23)*A23/(A23-(Part2!$C$18/Part2!$D$18)))))</f>
        <v>0.0310495312897359</v>
      </c>
      <c r="L23" s="0" t="n">
        <v>20</v>
      </c>
    </row>
    <row r="24" customFormat="false" ht="15" hidden="false" customHeight="false" outlineLevel="0" collapsed="false">
      <c r="A24" s="0" t="n">
        <v>22</v>
      </c>
      <c r="B24" s="54" t="n">
        <f aca="false">IF(C24&lt;=Part2!$G$5,A24,9999)</f>
        <v>9999</v>
      </c>
      <c r="C24" s="55" t="n">
        <f aca="false">IF(A24&lt;=(Part2!$C$16/Part2!$D$16),9999,D24/(A24*Part2!$D$16-Part2!$C$16)*60)</f>
        <v>9999</v>
      </c>
      <c r="D24" s="56" t="n">
        <f aca="false">IF(A24&lt;=(Part2!$C$16/Part2!$D$16),1,((Part2!$C$16/Part2!$D$16)^A24/FACT(A24)*A24/(A24-(Part2!$C$16/Part2!$D$16)))/(SUMPRODUCT(($L$3:$L$102&lt;A24)*((Part2!$C$16/Part2!$D$16)^$L$3:$L$102/FACT($L$3:$L$102)))+((Part2!$C$16/Part2!$D$16)^A24/FACT(A24)*A24/(A24-(Part2!$C$16/Part2!$D$16)))))</f>
        <v>1</v>
      </c>
      <c r="E24" s="54" t="n">
        <f aca="false">IF(F24&lt;=Part2!$G$7,A24,9999)</f>
        <v>9999</v>
      </c>
      <c r="F24" s="55" t="n">
        <f aca="false">IF(A24&lt;=(Part2!$C$17/Part2!$D$17),9999,G24/(A24*Part2!$D$17-Part2!$C$17)*60)</f>
        <v>9999</v>
      </c>
      <c r="G24" s="56" t="n">
        <f aca="false">IF(A24&lt;=(Part2!$C$17/Part2!$D$17),1,((Part2!$C$17/Part2!$D$17)^A24/FACT(A24)*A24/(A24-(Part2!$C$17/Part2!$D$17)))/(SUMPRODUCT(($L$3:$L$102&lt;A24)*((Part2!$C$17/Part2!$D$17)^$L$3:$L$102/FACT($L$3:$L$102)))+((Part2!$C$17/Part2!$D$17)^A24/FACT(A24)*A24/(A24-(Part2!$C$17/Part2!$D$17)))))</f>
        <v>1</v>
      </c>
      <c r="H24" s="54" t="n">
        <f aca="false">IF(I24&lt;=Part2!$G$9,A24,9999)</f>
        <v>22</v>
      </c>
      <c r="I24" s="55" t="n">
        <f aca="false">IF(A24&lt;=(Part2!$C$18/Part2!$D$18),9999,J24/(A24*Part2!$D$18-Part2!$C$18)*60)</f>
        <v>0.00194041847509163</v>
      </c>
      <c r="J24" s="56" t="n">
        <f aca="false">IF(A24&lt;=(Part2!$C$18/Part2!$D$18),1,((Part2!$C$18/Part2!$D$18)^A24/FACT(A24)*A24/(A24-(Part2!$C$18/Part2!$D$18)))/(SUMPRODUCT(($L$3:$L$102&lt;A24)*((Part2!$C$18/Part2!$D$18)^$L$3:$L$102/FACT($L$3:$L$102)))+((Part2!$C$18/Part2!$D$18)^A24/FACT(A24)*A24/(A24-(Part2!$C$18/Part2!$D$18)))))</f>
        <v>0.0172443049462918</v>
      </c>
      <c r="L24" s="0" t="n">
        <v>21</v>
      </c>
    </row>
    <row r="25" customFormat="false" ht="15" hidden="false" customHeight="false" outlineLevel="0" collapsed="false">
      <c r="A25" s="0" t="n">
        <v>23</v>
      </c>
      <c r="B25" s="54" t="n">
        <f aca="false">IF(C25&lt;=Part2!$G$5,A25,9999)</f>
        <v>9999</v>
      </c>
      <c r="C25" s="55" t="n">
        <f aca="false">IF(A25&lt;=(Part2!$C$16/Part2!$D$16),9999,D25/(A25*Part2!$D$16-Part2!$C$16)*60)</f>
        <v>9999</v>
      </c>
      <c r="D25" s="56" t="n">
        <f aca="false">IF(A25&lt;=(Part2!$C$16/Part2!$D$16),1,((Part2!$C$16/Part2!$D$16)^A25/FACT(A25)*A25/(A25-(Part2!$C$16/Part2!$D$16)))/(SUMPRODUCT(($L$3:$L$102&lt;A25)*((Part2!$C$16/Part2!$D$16)^$L$3:$L$102/FACT($L$3:$L$102)))+((Part2!$C$16/Part2!$D$16)^A25/FACT(A25)*A25/(A25-(Part2!$C$16/Part2!$D$16)))))</f>
        <v>1</v>
      </c>
      <c r="E25" s="54" t="n">
        <f aca="false">IF(F25&lt;=Part2!$G$7,A25,9999)</f>
        <v>9999</v>
      </c>
      <c r="F25" s="55" t="n">
        <f aca="false">IF(A25&lt;=(Part2!$C$17/Part2!$D$17),9999,G25/(A25*Part2!$D$17-Part2!$C$17)*60)</f>
        <v>9999</v>
      </c>
      <c r="G25" s="56" t="n">
        <f aca="false">IF(A25&lt;=(Part2!$C$17/Part2!$D$17),1,((Part2!$C$17/Part2!$D$17)^A25/FACT(A25)*A25/(A25-(Part2!$C$17/Part2!$D$17)))/(SUMPRODUCT(($L$3:$L$102&lt;A25)*((Part2!$C$17/Part2!$D$17)^$L$3:$L$102/FACT($L$3:$L$102)))+((Part2!$C$17/Part2!$D$17)^A25/FACT(A25)*A25/(A25-(Part2!$C$17/Part2!$D$17)))))</f>
        <v>1</v>
      </c>
      <c r="H25" s="54" t="n">
        <f aca="false">IF(I25&lt;=Part2!$G$9,A25,9999)</f>
        <v>23</v>
      </c>
      <c r="I25" s="55" t="n">
        <f aca="false">IF(A25&lt;=(Part2!$C$18/Part2!$D$18),9999,J25/(A25*Part2!$D$18-Part2!$C$18)*60)</f>
        <v>0.000935427484742325</v>
      </c>
      <c r="J25" s="56" t="n">
        <f aca="false">IF(A25&lt;=(Part2!$C$18/Part2!$D$18),1,((Part2!$C$18/Part2!$D$18)^A25/FACT(A25)*A25/(A25-(Part2!$C$18/Part2!$D$18)))/(SUMPRODUCT(($L$3:$L$102&lt;A25)*((Part2!$C$18/Part2!$D$18)^$L$3:$L$102/FACT($L$3:$L$102)))+((Part2!$C$18/Part2!$D$18)^A25/FACT(A25)*A25/(A25-(Part2!$C$18/Part2!$D$18)))))</f>
        <v>0.00924847799889889</v>
      </c>
      <c r="L25" s="0" t="n">
        <v>22</v>
      </c>
    </row>
    <row r="26" customFormat="false" ht="15" hidden="false" customHeight="false" outlineLevel="0" collapsed="false">
      <c r="A26" s="0" t="n">
        <v>24</v>
      </c>
      <c r="B26" s="54" t="n">
        <f aca="false">IF(C26&lt;=Part2!$G$5,A26,9999)</f>
        <v>9999</v>
      </c>
      <c r="C26" s="55" t="n">
        <f aca="false">IF(A26&lt;=(Part2!$C$16/Part2!$D$16),9999,D26/(A26*Part2!$D$16-Part2!$C$16)*60)</f>
        <v>9999</v>
      </c>
      <c r="D26" s="56" t="n">
        <f aca="false">IF(A26&lt;=(Part2!$C$16/Part2!$D$16),1,((Part2!$C$16/Part2!$D$16)^A26/FACT(A26)*A26/(A26-(Part2!$C$16/Part2!$D$16)))/(SUMPRODUCT(($L$3:$L$102&lt;A26)*((Part2!$C$16/Part2!$D$16)^$L$3:$L$102/FACT($L$3:$L$102)))+((Part2!$C$16/Part2!$D$16)^A26/FACT(A26)*A26/(A26-(Part2!$C$16/Part2!$D$16)))))</f>
        <v>1</v>
      </c>
      <c r="E26" s="54" t="n">
        <f aca="false">IF(F26&lt;=Part2!$G$7,A26,9999)</f>
        <v>9999</v>
      </c>
      <c r="F26" s="55" t="n">
        <f aca="false">IF(A26&lt;=(Part2!$C$17/Part2!$D$17),9999,G26/(A26*Part2!$D$17-Part2!$C$17)*60)</f>
        <v>9999</v>
      </c>
      <c r="G26" s="56" t="n">
        <f aca="false">IF(A26&lt;=(Part2!$C$17/Part2!$D$17),1,((Part2!$C$17/Part2!$D$17)^A26/FACT(A26)*A26/(A26-(Part2!$C$17/Part2!$D$17)))/(SUMPRODUCT(($L$3:$L$102&lt;A26)*((Part2!$C$17/Part2!$D$17)^$L$3:$L$102/FACT($L$3:$L$102)))+((Part2!$C$17/Part2!$D$17)^A26/FACT(A26)*A26/(A26-(Part2!$C$17/Part2!$D$17)))))</f>
        <v>1</v>
      </c>
      <c r="H26" s="54" t="n">
        <f aca="false">IF(I26&lt;=Part2!$G$9,A26,9999)</f>
        <v>24</v>
      </c>
      <c r="I26" s="55" t="n">
        <f aca="false">IF(A26&lt;=(Part2!$C$18/Part2!$D$18),9999,J26/(A26*Part2!$D$18-Part2!$C$18)*60)</f>
        <v>0.000440057951455401</v>
      </c>
      <c r="J26" s="56" t="n">
        <f aca="false">IF(A26&lt;=(Part2!$C$18/Part2!$D$18),1,((Part2!$C$18/Part2!$D$18)^A26/FACT(A26)*A26/(A26-(Part2!$C$18/Part2!$D$18)))/(SUMPRODUCT(($L$3:$L$102&lt;A26)*((Part2!$C$18/Part2!$D$18)^$L$3:$L$102/FACT($L$3:$L$102)))+((Part2!$C$18/Part2!$D$18)^A26/FACT(A26)*A26/(A26-(Part2!$C$18/Part2!$D$18)))))</f>
        <v>0.0047908669116998</v>
      </c>
      <c r="L26" s="0" t="n">
        <v>23</v>
      </c>
    </row>
    <row r="27" customFormat="false" ht="15" hidden="false" customHeight="false" outlineLevel="0" collapsed="false">
      <c r="A27" s="0" t="n">
        <v>25</v>
      </c>
      <c r="B27" s="54" t="n">
        <f aca="false">IF(C27&lt;=Part2!$G$5,A27,9999)</f>
        <v>9999</v>
      </c>
      <c r="C27" s="55" t="n">
        <f aca="false">IF(A27&lt;=(Part2!$C$16/Part2!$D$16),9999,D27/(A27*Part2!$D$16-Part2!$C$16)*60)</f>
        <v>9999</v>
      </c>
      <c r="D27" s="56" t="n">
        <f aca="false">IF(A27&lt;=(Part2!$C$16/Part2!$D$16),1,((Part2!$C$16/Part2!$D$16)^A27/FACT(A27)*A27/(A27-(Part2!$C$16/Part2!$D$16)))/(SUMPRODUCT(($L$3:$L$102&lt;A27)*((Part2!$C$16/Part2!$D$16)^$L$3:$L$102/FACT($L$3:$L$102)))+((Part2!$C$16/Part2!$D$16)^A27/FACT(A27)*A27/(A27-(Part2!$C$16/Part2!$D$16)))))</f>
        <v>1</v>
      </c>
      <c r="E27" s="54" t="n">
        <f aca="false">IF(F27&lt;=Part2!$G$7,A27,9999)</f>
        <v>9999</v>
      </c>
      <c r="F27" s="55" t="n">
        <f aca="false">IF(A27&lt;=(Part2!$C$17/Part2!$D$17),9999,G27/(A27*Part2!$D$17-Part2!$C$17)*60)</f>
        <v>9999</v>
      </c>
      <c r="G27" s="56" t="n">
        <f aca="false">IF(A27&lt;=(Part2!$C$17/Part2!$D$17),1,((Part2!$C$17/Part2!$D$17)^A27/FACT(A27)*A27/(A27-(Part2!$C$17/Part2!$D$17)))/(SUMPRODUCT(($L$3:$L$102&lt;A27)*((Part2!$C$17/Part2!$D$17)^$L$3:$L$102/FACT($L$3:$L$102)))+((Part2!$C$17/Part2!$D$17)^A27/FACT(A27)*A27/(A27-(Part2!$C$17/Part2!$D$17)))))</f>
        <v>1</v>
      </c>
      <c r="H27" s="54" t="n">
        <f aca="false">IF(I27&lt;=Part2!$G$9,A27,9999)</f>
        <v>25</v>
      </c>
      <c r="I27" s="55" t="n">
        <f aca="false">IF(A27&lt;=(Part2!$C$18/Part2!$D$18),9999,J27/(A27*Part2!$D$18-Part2!$C$18)*60)</f>
        <v>0.000201730191353087</v>
      </c>
      <c r="J27" s="56" t="n">
        <f aca="false">IF(A27&lt;=(Part2!$C$18/Part2!$D$18),1,((Part2!$C$18/Part2!$D$18)^A27/FACT(A27)*A27/(A27-(Part2!$C$18/Part2!$D$18)))/(SUMPRODUCT(($L$3:$L$102&lt;A27)*((Part2!$C$18/Part2!$D$18)^$L$3:$L$102/FACT($L$3:$L$102)))+((Part2!$C$18/Part2!$D$18)^A27/FACT(A27)*A27/(A27-(Part2!$C$18/Part2!$D$18)))))</f>
        <v>0.00239794661159501</v>
      </c>
      <c r="L27" s="0" t="n">
        <v>24</v>
      </c>
    </row>
    <row r="28" customFormat="false" ht="15" hidden="false" customHeight="false" outlineLevel="0" collapsed="false">
      <c r="A28" s="0" t="n">
        <v>26</v>
      </c>
      <c r="B28" s="54" t="n">
        <f aca="false">IF(C28&lt;=Part2!$G$5,A28,9999)</f>
        <v>9999</v>
      </c>
      <c r="C28" s="55" t="n">
        <f aca="false">IF(A28&lt;=(Part2!$C$16/Part2!$D$16),9999,D28/(A28*Part2!$D$16-Part2!$C$16)*60)</f>
        <v>9999</v>
      </c>
      <c r="D28" s="56" t="n">
        <f aca="false">IF(A28&lt;=(Part2!$C$16/Part2!$D$16),1,((Part2!$C$16/Part2!$D$16)^A28/FACT(A28)*A28/(A28-(Part2!$C$16/Part2!$D$16)))/(SUMPRODUCT(($L$3:$L$102&lt;A28)*((Part2!$C$16/Part2!$D$16)^$L$3:$L$102/FACT($L$3:$L$102)))+((Part2!$C$16/Part2!$D$16)^A28/FACT(A28)*A28/(A28-(Part2!$C$16/Part2!$D$16)))))</f>
        <v>1</v>
      </c>
      <c r="E28" s="54" t="n">
        <f aca="false">IF(F28&lt;=Part2!$G$7,A28,9999)</f>
        <v>9999</v>
      </c>
      <c r="F28" s="55" t="n">
        <f aca="false">IF(A28&lt;=(Part2!$C$17/Part2!$D$17),9999,G28/(A28*Part2!$D$17-Part2!$C$17)*60)</f>
        <v>9999</v>
      </c>
      <c r="G28" s="56" t="n">
        <f aca="false">IF(A28&lt;=(Part2!$C$17/Part2!$D$17),1,((Part2!$C$17/Part2!$D$17)^A28/FACT(A28)*A28/(A28-(Part2!$C$17/Part2!$D$17)))/(SUMPRODUCT(($L$3:$L$102&lt;A28)*((Part2!$C$17/Part2!$D$17)^$L$3:$L$102/FACT($L$3:$L$102)))+((Part2!$C$17/Part2!$D$17)^A28/FACT(A28)*A28/(A28-(Part2!$C$17/Part2!$D$17)))))</f>
        <v>1</v>
      </c>
      <c r="H28" s="54" t="n">
        <f aca="false">IF(I28&lt;=Part2!$G$9,A28,9999)</f>
        <v>26</v>
      </c>
      <c r="I28" s="55" t="n">
        <f aca="false">IF(A28&lt;=(Part2!$C$18/Part2!$D$18),9999,J28/(A28*Part2!$D$18-Part2!$C$18)*60)</f>
        <v>9.00365729512534E-005</v>
      </c>
      <c r="J28" s="56" t="n">
        <f aca="false">IF(A28&lt;=(Part2!$C$18/Part2!$D$18),1,((Part2!$C$18/Part2!$D$18)^A28/FACT(A28)*A28/(A28-(Part2!$C$18/Part2!$D$18)))/(SUMPRODUCT(($L$3:$L$102&lt;A28)*((Part2!$C$18/Part2!$D$18)^$L$3:$L$102/FACT($L$3:$L$102)))+((Part2!$C$18/Part2!$D$18)^A28/FACT(A28)*A28/(A28-(Part2!$C$18/Part2!$D$18)))))</f>
        <v>0.00116029231196551</v>
      </c>
      <c r="L28" s="0" t="n">
        <v>25</v>
      </c>
    </row>
    <row r="29" customFormat="false" ht="15" hidden="false" customHeight="false" outlineLevel="0" collapsed="false">
      <c r="A29" s="0" t="n">
        <v>27</v>
      </c>
      <c r="B29" s="54" t="n">
        <f aca="false">IF(C29&lt;=Part2!$G$5,A29,9999)</f>
        <v>9999</v>
      </c>
      <c r="C29" s="55" t="n">
        <f aca="false">IF(A29&lt;=(Part2!$C$16/Part2!$D$16),9999,D29/(A29*Part2!$D$16-Part2!$C$16)*60)</f>
        <v>9999</v>
      </c>
      <c r="D29" s="56" t="n">
        <f aca="false">IF(A29&lt;=(Part2!$C$16/Part2!$D$16),1,((Part2!$C$16/Part2!$D$16)^A29/FACT(A29)*A29/(A29-(Part2!$C$16/Part2!$D$16)))/(SUMPRODUCT(($L$3:$L$102&lt;A29)*((Part2!$C$16/Part2!$D$16)^$L$3:$L$102/FACT($L$3:$L$102)))+((Part2!$C$16/Part2!$D$16)^A29/FACT(A29)*A29/(A29-(Part2!$C$16/Part2!$D$16)))))</f>
        <v>1</v>
      </c>
      <c r="E29" s="54" t="n">
        <f aca="false">IF(F29&lt;=Part2!$G$7,A29,9999)</f>
        <v>9999</v>
      </c>
      <c r="F29" s="55" t="n">
        <f aca="false">IF(A29&lt;=(Part2!$C$17/Part2!$D$17),9999,G29/(A29*Part2!$D$17-Part2!$C$17)*60)</f>
        <v>9999</v>
      </c>
      <c r="G29" s="56" t="n">
        <f aca="false">IF(A29&lt;=(Part2!$C$17/Part2!$D$17),1,((Part2!$C$17/Part2!$D$17)^A29/FACT(A29)*A29/(A29-(Part2!$C$17/Part2!$D$17)))/(SUMPRODUCT(($L$3:$L$102&lt;A29)*((Part2!$C$17/Part2!$D$17)^$L$3:$L$102/FACT($L$3:$L$102)))+((Part2!$C$17/Part2!$D$17)^A29/FACT(A29)*A29/(A29-(Part2!$C$17/Part2!$D$17)))))</f>
        <v>1</v>
      </c>
      <c r="H29" s="54" t="n">
        <f aca="false">IF(I29&lt;=Part2!$G$9,A29,9999)</f>
        <v>27</v>
      </c>
      <c r="I29" s="55" t="n">
        <f aca="false">IF(A29&lt;=(Part2!$C$18/Part2!$D$18),9999,J29/(A29*Part2!$D$18-Part2!$C$18)*60)</f>
        <v>3.91070974465782E-005</v>
      </c>
      <c r="J29" s="56" t="n">
        <f aca="false">IF(A29&lt;=(Part2!$C$18/Part2!$D$18),1,((Part2!$C$18/Part2!$D$18)^A29/FACT(A29)*A29/(A29-(Part2!$C$18/Part2!$D$18)))/(SUMPRODUCT(($L$3:$L$102&lt;A29)*((Part2!$C$18/Part2!$D$18)^$L$3:$L$102/FACT($L$3:$L$102)))+((Part2!$C$18/Part2!$D$18)^A29/FACT(A29)*A29/(A29-(Part2!$C$18/Part2!$D$18)))))</f>
        <v>0.000543076351530886</v>
      </c>
      <c r="L29" s="0" t="n">
        <v>26</v>
      </c>
    </row>
    <row r="30" customFormat="false" ht="15" hidden="false" customHeight="false" outlineLevel="0" collapsed="false">
      <c r="A30" s="0" t="n">
        <v>28</v>
      </c>
      <c r="B30" s="54" t="n">
        <f aca="false">IF(C30&lt;=Part2!$G$5,A30,9999)</f>
        <v>9999</v>
      </c>
      <c r="C30" s="55" t="n">
        <f aca="false">IF(A30&lt;=(Part2!$C$16/Part2!$D$16),9999,D30/(A30*Part2!$D$16-Part2!$C$16)*60)</f>
        <v>9999</v>
      </c>
      <c r="D30" s="56" t="n">
        <f aca="false">IF(A30&lt;=(Part2!$C$16/Part2!$D$16),1,((Part2!$C$16/Part2!$D$16)^A30/FACT(A30)*A30/(A30-(Part2!$C$16/Part2!$D$16)))/(SUMPRODUCT(($L$3:$L$102&lt;A30)*((Part2!$C$16/Part2!$D$16)^$L$3:$L$102/FACT($L$3:$L$102)))+((Part2!$C$16/Part2!$D$16)^A30/FACT(A30)*A30/(A30-(Part2!$C$16/Part2!$D$16)))))</f>
        <v>1</v>
      </c>
      <c r="E30" s="54" t="n">
        <f aca="false">IF(F30&lt;=Part2!$G$7,A30,9999)</f>
        <v>28</v>
      </c>
      <c r="F30" s="55" t="n">
        <f aca="false">IF(A30&lt;=(Part2!$C$17/Part2!$D$17),9999,G30/(A30*Part2!$D$17-Part2!$C$17)*60)</f>
        <v>2.51037499545004</v>
      </c>
      <c r="G30" s="56" t="n">
        <f aca="false">IF(A30&lt;=(Part2!$C$17/Part2!$D$17),1,((Part2!$C$17/Part2!$D$17)^A30/FACT(A30)*A30/(A30-(Part2!$C$17/Part2!$D$17)))/(SUMPRODUCT(($L$3:$L$102&lt;A30)*((Part2!$C$17/Part2!$D$17)^$L$3:$L$102/FACT($L$3:$L$102)))+((Part2!$C$17/Part2!$D$17)^A30/FACT(A30)*A30/(A30-(Part2!$C$17/Part2!$D$17)))))</f>
        <v>0.798492756625677</v>
      </c>
      <c r="H30" s="54" t="n">
        <f aca="false">IF(I30&lt;=Part2!$G$9,A30,9999)</f>
        <v>28</v>
      </c>
      <c r="I30" s="55" t="n">
        <f aca="false">IF(A30&lt;=(Part2!$C$18/Part2!$D$18),9999,J30/(A30*Part2!$D$18-Part2!$C$18)*60)</f>
        <v>1.65274922139986E-005</v>
      </c>
      <c r="J30" s="56" t="n">
        <f aca="false">IF(A30&lt;=(Part2!$C$18/Part2!$D$18),1,((Part2!$C$18/Part2!$D$18)^A30/FACT(A30)*A30/(A30-(Part2!$C$18/Part2!$D$18)))/(SUMPRODUCT(($L$3:$L$102&lt;A30)*((Part2!$C$18/Part2!$D$18)^$L$3:$L$102/FACT($L$3:$L$102)))+((Part2!$C$18/Part2!$D$18)^A30/FACT(A30)*A30/(A30-(Part2!$C$18/Part2!$D$18)))))</f>
        <v>0.000246043123840576</v>
      </c>
      <c r="L30" s="0" t="n">
        <v>27</v>
      </c>
    </row>
    <row r="31" customFormat="false" ht="15" hidden="false" customHeight="false" outlineLevel="0" collapsed="false">
      <c r="A31" s="0" t="n">
        <v>29</v>
      </c>
      <c r="B31" s="54" t="n">
        <f aca="false">IF(C31&lt;=Part2!$G$5,A31,9999)</f>
        <v>9999</v>
      </c>
      <c r="C31" s="55" t="n">
        <f aca="false">IF(A31&lt;=(Part2!$C$16/Part2!$D$16),9999,D31/(A31*Part2!$D$16-Part2!$C$16)*60)</f>
        <v>9999</v>
      </c>
      <c r="D31" s="56" t="n">
        <f aca="false">IF(A31&lt;=(Part2!$C$16/Part2!$D$16),1,((Part2!$C$16/Part2!$D$16)^A31/FACT(A31)*A31/(A31-(Part2!$C$16/Part2!$D$16)))/(SUMPRODUCT(($L$3:$L$102&lt;A31)*((Part2!$C$16/Part2!$D$16)^$L$3:$L$102/FACT($L$3:$L$102)))+((Part2!$C$16/Part2!$D$16)^A31/FACT(A31)*A31/(A31-(Part2!$C$16/Part2!$D$16)))))</f>
        <v>1</v>
      </c>
      <c r="E31" s="54" t="n">
        <f aca="false">IF(F31&lt;=Part2!$G$7,A31,9999)</f>
        <v>29</v>
      </c>
      <c r="F31" s="55" t="n">
        <f aca="false">IF(A31&lt;=(Part2!$C$17/Part2!$D$17),9999,G31/(A31*Part2!$D$17-Part2!$C$17)*60)</f>
        <v>0.955090456195427</v>
      </c>
      <c r="G31" s="56" t="n">
        <f aca="false">IF(A31&lt;=(Part2!$C$17/Part2!$D$17),1,((Part2!$C$17/Part2!$D$17)^A31/FACT(A31)*A31/(A31-(Part2!$C$17/Part2!$D$17)))/(SUMPRODUCT(($L$3:$L$102&lt;A31)*((Part2!$C$17/Part2!$D$17)^$L$3:$L$102/FACT($L$3:$L$102)))+((Part2!$C$17/Part2!$D$17)^A31/FACT(A31)*A31/(A31-(Part2!$C$17/Part2!$D$17)))))</f>
        <v>0.622155872024619</v>
      </c>
      <c r="H31" s="54" t="n">
        <f aca="false">IF(I31&lt;=Part2!$G$9,A31,9999)</f>
        <v>29</v>
      </c>
      <c r="I31" s="55" t="n">
        <f aca="false">IF(A31&lt;=(Part2!$C$18/Part2!$D$18),9999,J31/(A31*Part2!$D$18-Part2!$C$18)*60)</f>
        <v>6.79653677892701E-006</v>
      </c>
      <c r="J31" s="56" t="n">
        <f aca="false">IF(A31&lt;=(Part2!$C$18/Part2!$D$18),1,((Part2!$C$18/Part2!$D$18)^A31/FACT(A31)*A31/(A31-(Part2!$C$18/Part2!$D$18)))/(SUMPRODUCT(($L$3:$L$102&lt;A31)*((Part2!$C$18/Part2!$D$18)^$L$3:$L$102/FACT($L$3:$L$102)))+((Part2!$C$18/Part2!$D$18)^A31/FACT(A31)*A31/(A31-(Part2!$C$18/Part2!$D$18)))))</f>
        <v>0.000107975900153136</v>
      </c>
      <c r="L31" s="0" t="n">
        <v>28</v>
      </c>
    </row>
    <row r="32" customFormat="false" ht="15" hidden="false" customHeight="false" outlineLevel="0" collapsed="false">
      <c r="A32" s="0" t="n">
        <v>30</v>
      </c>
      <c r="B32" s="54" t="n">
        <f aca="false">IF(C32&lt;=Part2!$G$5,A32,9999)</f>
        <v>9999</v>
      </c>
      <c r="C32" s="55" t="n">
        <f aca="false">IF(A32&lt;=(Part2!$C$16/Part2!$D$16),9999,D32/(A32*Part2!$D$16-Part2!$C$16)*60)</f>
        <v>9999</v>
      </c>
      <c r="D32" s="56" t="n">
        <f aca="false">IF(A32&lt;=(Part2!$C$16/Part2!$D$16),1,((Part2!$C$16/Part2!$D$16)^A32/FACT(A32)*A32/(A32-(Part2!$C$16/Part2!$D$16)))/(SUMPRODUCT(($L$3:$L$102&lt;A32)*((Part2!$C$16/Part2!$D$16)^$L$3:$L$102/FACT($L$3:$L$102)))+((Part2!$C$16/Part2!$D$16)^A32/FACT(A32)*A32/(A32-(Part2!$C$16/Part2!$D$16)))))</f>
        <v>1</v>
      </c>
      <c r="E32" s="54" t="n">
        <f aca="false">IF(F32&lt;=Part2!$G$7,A32,9999)</f>
        <v>30</v>
      </c>
      <c r="F32" s="55" t="n">
        <f aca="false">IF(A32&lt;=(Part2!$C$17/Part2!$D$17),9999,G32/(A32*Part2!$D$17-Part2!$C$17)*60)</f>
        <v>0.485034244225421</v>
      </c>
      <c r="G32" s="56" t="n">
        <f aca="false">IF(A32&lt;=(Part2!$C$17/Part2!$D$17),1,((Part2!$C$17/Part2!$D$17)^A32/FACT(A32)*A32/(A32-(Part2!$C$17/Part2!$D$17)))/(SUMPRODUCT(($L$3:$L$102&lt;A32)*((Part2!$C$17/Part2!$D$17)^$L$3:$L$102/FACT($L$3:$L$102)))+((Part2!$C$17/Part2!$D$17)^A32/FACT(A32)*A32/(A32-(Part2!$C$17/Part2!$D$17)))))</f>
        <v>0.477634440536957</v>
      </c>
      <c r="H32" s="54" t="n">
        <f aca="false">IF(I32&lt;=Part2!$G$9,A32,9999)</f>
        <v>30</v>
      </c>
      <c r="I32" s="55" t="n">
        <f aca="false">IF(A32&lt;=(Part2!$C$18/Part2!$D$18),9999,J32/(A32*Part2!$D$18-Part2!$C$18)*60)</f>
        <v>2.7200366941691E-006</v>
      </c>
      <c r="J32" s="56" t="n">
        <f aca="false">IF(A32&lt;=(Part2!$C$18/Part2!$D$18),1,((Part2!$C$18/Part2!$D$18)^A32/FACT(A32)*A32/(A32-(Part2!$C$18/Part2!$D$18)))/(SUMPRODUCT(($L$3:$L$102&lt;A32)*((Part2!$C$18/Part2!$D$18)^$L$3:$L$102/FACT($L$3:$L$102)))+((Part2!$C$18/Part2!$D$18)^A32/FACT(A32)*A32/(A32-(Part2!$C$18/Part2!$D$18)))))</f>
        <v>4.59329876507642E-005</v>
      </c>
      <c r="L32" s="0" t="n">
        <v>29</v>
      </c>
    </row>
    <row r="33" customFormat="false" ht="15" hidden="false" customHeight="false" outlineLevel="0" collapsed="false">
      <c r="A33" s="0" t="n">
        <v>31</v>
      </c>
      <c r="B33" s="54" t="n">
        <f aca="false">IF(C33&lt;=Part2!$G$5,A33,9999)</f>
        <v>9999</v>
      </c>
      <c r="C33" s="55" t="n">
        <f aca="false">IF(A33&lt;=(Part2!$C$16/Part2!$D$16),9999,D33/(A33*Part2!$D$16-Part2!$C$16)*60)</f>
        <v>9999</v>
      </c>
      <c r="D33" s="56" t="n">
        <f aca="false">IF(A33&lt;=(Part2!$C$16/Part2!$D$16),1,((Part2!$C$16/Part2!$D$16)^A33/FACT(A33)*A33/(A33-(Part2!$C$16/Part2!$D$16)))/(SUMPRODUCT(($L$3:$L$102&lt;A33)*((Part2!$C$16/Part2!$D$16)^$L$3:$L$102/FACT($L$3:$L$102)))+((Part2!$C$16/Part2!$D$16)^A33/FACT(A33)*A33/(A33-(Part2!$C$16/Part2!$D$16)))))</f>
        <v>1</v>
      </c>
      <c r="E33" s="54" t="n">
        <f aca="false">IF(F33&lt;=Part2!$G$7,A33,9999)</f>
        <v>31</v>
      </c>
      <c r="F33" s="55" t="n">
        <f aca="false">IF(A33&lt;=(Part2!$C$17/Part2!$D$17),9999,G33/(A33*Part2!$D$17-Part2!$C$17)*60)</f>
        <v>0.273896761591772</v>
      </c>
      <c r="G33" s="56" t="n">
        <f aca="false">IF(A33&lt;=(Part2!$C$17/Part2!$D$17),1,((Part2!$C$17/Part2!$D$17)^A33/FACT(A33)*A33/(A33-(Part2!$C$17/Part2!$D$17)))/(SUMPRODUCT(($L$3:$L$102&lt;A33)*((Part2!$C$17/Part2!$D$17)^$L$3:$L$102/FACT($L$3:$L$102)))+((Part2!$C$17/Part2!$D$17)^A33/FACT(A33)*A33/(A33-(Part2!$C$17/Part2!$D$17)))))</f>
        <v>0.361017044653328</v>
      </c>
      <c r="H33" s="54" t="n">
        <f aca="false">IF(I33&lt;=Part2!$G$9,A33,9999)</f>
        <v>31</v>
      </c>
      <c r="I33" s="55" t="n">
        <f aca="false">IF(A33&lt;=(Part2!$C$18/Part2!$D$18),9999,J33/(A33*Part2!$D$18-Part2!$C$18)*60)</f>
        <v>1.05971498110242E-006</v>
      </c>
      <c r="J33" s="56" t="n">
        <f aca="false">IF(A33&lt;=(Part2!$C$18/Part2!$D$18),1,((Part2!$C$18/Part2!$D$18)^A33/FACT(A33)*A33/(A33-(Part2!$C$18/Part2!$D$18)))/(SUMPRODUCT(($L$3:$L$102&lt;A33)*((Part2!$C$18/Part2!$D$18)^$L$3:$L$102/FACT($L$3:$L$102)))+((Part2!$C$18/Part2!$D$18)^A33/FACT(A33)*A33/(A33-(Part2!$C$18/Part2!$D$18)))))</f>
        <v>1.89550158954808E-005</v>
      </c>
      <c r="L33" s="0" t="n">
        <v>30</v>
      </c>
    </row>
    <row r="34" customFormat="false" ht="15" hidden="false" customHeight="false" outlineLevel="0" collapsed="false">
      <c r="A34" s="0" t="n">
        <v>32</v>
      </c>
      <c r="B34" s="54" t="n">
        <f aca="false">IF(C34&lt;=Part2!$G$5,A34,9999)</f>
        <v>9999</v>
      </c>
      <c r="C34" s="55" t="n">
        <f aca="false">IF(A34&lt;=(Part2!$C$16/Part2!$D$16),9999,D34/(A34*Part2!$D$16-Part2!$C$16)*60)</f>
        <v>9999</v>
      </c>
      <c r="D34" s="56" t="n">
        <f aca="false">IF(A34&lt;=(Part2!$C$16/Part2!$D$16),1,((Part2!$C$16/Part2!$D$16)^A34/FACT(A34)*A34/(A34-(Part2!$C$16/Part2!$D$16)))/(SUMPRODUCT(($L$3:$L$102&lt;A34)*((Part2!$C$16/Part2!$D$16)^$L$3:$L$102/FACT($L$3:$L$102)))+((Part2!$C$16/Part2!$D$16)^A34/FACT(A34)*A34/(A34-(Part2!$C$16/Part2!$D$16)))))</f>
        <v>1</v>
      </c>
      <c r="E34" s="54" t="n">
        <f aca="false">IF(F34&lt;=Part2!$G$7,A34,9999)</f>
        <v>32</v>
      </c>
      <c r="F34" s="55" t="n">
        <f aca="false">IF(A34&lt;=(Part2!$C$17/Part2!$D$17),9999,G34/(A34*Part2!$D$17-Part2!$C$17)*60)</f>
        <v>0.16256359569546</v>
      </c>
      <c r="G34" s="56" t="n">
        <f aca="false">IF(A34&lt;=(Part2!$C$17/Part2!$D$17),1,((Part2!$C$17/Part2!$D$17)^A34/FACT(A34)*A34/(A34-(Part2!$C$17/Part2!$D$17)))/(SUMPRODUCT(($L$3:$L$102&lt;A34)*((Part2!$C$17/Part2!$D$17)^$L$3:$L$102/FACT($L$3:$L$102)))+((Part2!$C$17/Part2!$D$17)^A34/FACT(A34)*A34/(A34-(Part2!$C$17/Part2!$D$17)))))</f>
        <v>0.268459215302271</v>
      </c>
      <c r="H34" s="54" t="n">
        <f aca="false">IF(I34&lt;=Part2!$G$9,A34,9999)</f>
        <v>32</v>
      </c>
      <c r="I34" s="55" t="n">
        <f aca="false">IF(A34&lt;=(Part2!$C$18/Part2!$D$18),9999,J34/(A34*Part2!$D$18-Part2!$C$18)*60)</f>
        <v>4.02051543620921E-007</v>
      </c>
      <c r="J34" s="56" t="n">
        <f aca="false">IF(A34&lt;=(Part2!$C$18/Part2!$D$18),1,((Part2!$C$18/Part2!$D$18)^A34/FACT(A34)*A34/(A34-(Part2!$C$18/Part2!$D$18)))/(SUMPRODUCT(($L$3:$L$102&lt;A34)*((Part2!$C$18/Part2!$D$18)^$L$3:$L$102/FACT($L$3:$L$102)))+((Part2!$C$18/Part2!$D$18)^A34/FACT(A34)*A34/(A34-(Part2!$C$18/Part2!$D$18)))))</f>
        <v>7.59350729921396E-006</v>
      </c>
      <c r="L34" s="0" t="n">
        <v>31</v>
      </c>
    </row>
    <row r="35" customFormat="false" ht="15" hidden="false" customHeight="false" outlineLevel="0" collapsed="false">
      <c r="A35" s="0" t="n">
        <v>33</v>
      </c>
      <c r="B35" s="54" t="n">
        <f aca="false">IF(C35&lt;=Part2!$G$5,A35,9999)</f>
        <v>9999</v>
      </c>
      <c r="C35" s="55" t="n">
        <f aca="false">IF(A35&lt;=(Part2!$C$16/Part2!$D$16),9999,D35/(A35*Part2!$D$16-Part2!$C$16)*60)</f>
        <v>9999</v>
      </c>
      <c r="D35" s="56" t="n">
        <f aca="false">IF(A35&lt;=(Part2!$C$16/Part2!$D$16),1,((Part2!$C$16/Part2!$D$16)^A35/FACT(A35)*A35/(A35-(Part2!$C$16/Part2!$D$16)))/(SUMPRODUCT(($L$3:$L$102&lt;A35)*((Part2!$C$16/Part2!$D$16)^$L$3:$L$102/FACT($L$3:$L$102)))+((Part2!$C$16/Part2!$D$16)^A35/FACT(A35)*A35/(A35-(Part2!$C$16/Part2!$D$16)))))</f>
        <v>1</v>
      </c>
      <c r="E35" s="54" t="n">
        <f aca="false">IF(F35&lt;=Part2!$G$7,A35,9999)</f>
        <v>33</v>
      </c>
      <c r="F35" s="55" t="n">
        <f aca="false">IF(A35&lt;=(Part2!$C$17/Part2!$D$17),9999,G35/(A35*Part2!$D$17-Part2!$C$17)*60)</f>
        <v>0.0988887591364664</v>
      </c>
      <c r="G35" s="56" t="n">
        <f aca="false">IF(A35&lt;=(Part2!$C$17/Part2!$D$17),1,((Part2!$C$17/Part2!$D$17)^A35/FACT(A35)*A35/(A35-(Part2!$C$17/Part2!$D$17)))/(SUMPRODUCT(($L$3:$L$102&lt;A35)*((Part2!$C$17/Part2!$D$17)^$L$3:$L$102/FACT($L$3:$L$102)))+((Part2!$C$17/Part2!$D$17)^A35/FACT(A35)*A35/(A35-(Part2!$C$17/Part2!$D$17)))))</f>
        <v>0.196268846641357</v>
      </c>
      <c r="H35" s="54" t="n">
        <f aca="false">IF(I35&lt;=Part2!$G$9,A35,9999)</f>
        <v>33</v>
      </c>
      <c r="I35" s="55" t="n">
        <f aca="false">IF(A35&lt;=(Part2!$C$18/Part2!$D$18),9999,J35/(A35*Part2!$D$18-Part2!$C$18)*60)</f>
        <v>1.48601905567338E-007</v>
      </c>
      <c r="J35" s="56" t="n">
        <f aca="false">IF(A35&lt;=(Part2!$C$18/Part2!$D$18),1,((Part2!$C$18/Part2!$D$18)^A35/FACT(A35)*A35/(A35-(Part2!$C$18/Part2!$D$18)))/(SUMPRODUCT(($L$3:$L$102&lt;A35)*((Part2!$C$18/Part2!$D$18)^$L$3:$L$102/FACT($L$3:$L$102)))+((Part2!$C$18/Part2!$D$18)^A35/FACT(A35)*A35/(A35-(Part2!$C$18/Part2!$D$18)))))</f>
        <v>2.95523123582709E-006</v>
      </c>
      <c r="L35" s="0" t="n">
        <v>32</v>
      </c>
    </row>
    <row r="36" customFormat="false" ht="15" hidden="false" customHeight="false" outlineLevel="0" collapsed="false">
      <c r="A36" s="0" t="n">
        <v>34</v>
      </c>
      <c r="B36" s="54" t="n">
        <f aca="false">IF(C36&lt;=Part2!$G$5,A36,9999)</f>
        <v>9999</v>
      </c>
      <c r="C36" s="55" t="n">
        <f aca="false">IF(A36&lt;=(Part2!$C$16/Part2!$D$16),9999,D36/(A36*Part2!$D$16-Part2!$C$16)*60)</f>
        <v>9999</v>
      </c>
      <c r="D36" s="56" t="n">
        <f aca="false">IF(A36&lt;=(Part2!$C$16/Part2!$D$16),1,((Part2!$C$16/Part2!$D$16)^A36/FACT(A36)*A36/(A36-(Part2!$C$16/Part2!$D$16)))/(SUMPRODUCT(($L$3:$L$102&lt;A36)*((Part2!$C$16/Part2!$D$16)^$L$3:$L$102/FACT($L$3:$L$102)))+((Part2!$C$16/Part2!$D$16)^A36/FACT(A36)*A36/(A36-(Part2!$C$16/Part2!$D$16)))))</f>
        <v>1</v>
      </c>
      <c r="E36" s="54" t="n">
        <f aca="false">IF(F36&lt;=Part2!$G$7,A36,9999)</f>
        <v>34</v>
      </c>
      <c r="F36" s="55" t="n">
        <f aca="false">IF(A36&lt;=(Part2!$C$17/Part2!$D$17),9999,G36/(A36*Part2!$D$17-Part2!$C$17)*60)</f>
        <v>0.0608203574862968</v>
      </c>
      <c r="G36" s="56" t="n">
        <f aca="false">IF(A36&lt;=(Part2!$C$17/Part2!$D$17),1,((Part2!$C$17/Part2!$D$17)^A36/FACT(A36)*A36/(A36-(Part2!$C$17/Part2!$D$17)))/(SUMPRODUCT(($L$3:$L$102&lt;A36)*((Part2!$C$17/Part2!$D$17)^$L$3:$L$102/FACT($L$3:$L$102)))+((Part2!$C$17/Part2!$D$17)^A36/FACT(A36)*A36/(A36-(Part2!$C$17/Part2!$D$17)))))</f>
        <v>0.140986276889125</v>
      </c>
      <c r="H36" s="54" t="n">
        <f aca="false">IF(I36&lt;=Part2!$G$9,A36,9999)</f>
        <v>34</v>
      </c>
      <c r="I36" s="55" t="n">
        <f aca="false">IF(A36&lt;=(Part2!$C$18/Part2!$D$18),9999,J36/(A36*Part2!$D$18-Part2!$C$18)*60)</f>
        <v>5.35305913587614E-008</v>
      </c>
      <c r="J36" s="56" t="n">
        <f aca="false">IF(A36&lt;=(Part2!$C$18/Part2!$D$18),1,((Part2!$C$18/Part2!$D$18)^A36/FACT(A36)*A36/(A36-(Part2!$C$18/Part2!$D$18)))/(SUMPRODUCT(($L$3:$L$102&lt;A36)*((Part2!$C$18/Part2!$D$18)^$L$3:$L$102/FACT($L$3:$L$102)))+((Part2!$C$18/Part2!$D$18)^A36/FACT(A36)*A36/(A36-(Part2!$C$18/Part2!$D$18)))))</f>
        <v>1.11808810865131E-006</v>
      </c>
      <c r="L36" s="0" t="n">
        <v>33</v>
      </c>
    </row>
    <row r="37" customFormat="false" ht="15" hidden="false" customHeight="false" outlineLevel="0" collapsed="false">
      <c r="A37" s="0" t="n">
        <v>35</v>
      </c>
      <c r="B37" s="54" t="n">
        <f aca="false">IF(C37&lt;=Part2!$G$5,A37,9999)</f>
        <v>9999</v>
      </c>
      <c r="C37" s="55" t="n">
        <f aca="false">IF(A37&lt;=(Part2!$C$16/Part2!$D$16),9999,D37/(A37*Part2!$D$16-Part2!$C$16)*60)</f>
        <v>9999</v>
      </c>
      <c r="D37" s="56" t="n">
        <f aca="false">IF(A37&lt;=(Part2!$C$16/Part2!$D$16),1,((Part2!$C$16/Part2!$D$16)^A37/FACT(A37)*A37/(A37-(Part2!$C$16/Part2!$D$16)))/(SUMPRODUCT(($L$3:$L$102&lt;A37)*((Part2!$C$16/Part2!$D$16)^$L$3:$L$102/FACT($L$3:$L$102)))+((Part2!$C$16/Part2!$D$16)^A37/FACT(A37)*A37/(A37-(Part2!$C$16/Part2!$D$16)))))</f>
        <v>1</v>
      </c>
      <c r="E37" s="54" t="n">
        <f aca="false">IF(F37&lt;=Part2!$G$7,A37,9999)</f>
        <v>35</v>
      </c>
      <c r="F37" s="55" t="n">
        <f aca="false">IF(A37&lt;=(Part2!$C$17/Part2!$D$17),9999,G37/(A37*Part2!$D$17-Part2!$C$17)*60)</f>
        <v>0.0375092222206783</v>
      </c>
      <c r="G37" s="56" t="n">
        <f aca="false">IF(A37&lt;=(Part2!$C$17/Part2!$D$17),1,((Part2!$C$17/Part2!$D$17)^A37/FACT(A37)*A37/(A37-(Part2!$C$17/Part2!$D$17)))/(SUMPRODUCT(($L$3:$L$102&lt;A37)*((Part2!$C$17/Part2!$D$17)^$L$3:$L$102/FACT($L$3:$L$102)))+((Part2!$C$17/Part2!$D$17)^A37/FACT(A37)*A37/(A37-(Part2!$C$17/Part2!$D$17)))))</f>
        <v>0.0994523425169711</v>
      </c>
      <c r="H37" s="54" t="n">
        <f aca="false">IF(I37&lt;=Part2!$G$9,A37,9999)</f>
        <v>35</v>
      </c>
      <c r="I37" s="55" t="n">
        <f aca="false">IF(A37&lt;=(Part2!$C$18/Part2!$D$18),9999,J37/(A37*Part2!$D$18-Part2!$C$18)*60)</f>
        <v>1.88021699292059E-008</v>
      </c>
      <c r="J37" s="56" t="n">
        <f aca="false">IF(A37&lt;=(Part2!$C$18/Part2!$D$18),1,((Part2!$C$18/Part2!$D$18)^A37/FACT(A37)*A37/(A37-(Part2!$C$18/Part2!$D$18)))/(SUMPRODUCT(($L$3:$L$102&lt;A37)*((Part2!$C$18/Part2!$D$18)^$L$3:$L$102/FACT($L$3:$L$102)))+((Part2!$C$18/Part2!$D$18)^A37/FACT(A37)*A37/(A37-(Part2!$C$18/Part2!$D$18)))))</f>
        <v>4.11521213023536E-007</v>
      </c>
      <c r="L37" s="0" t="n">
        <v>34</v>
      </c>
    </row>
    <row r="38" customFormat="false" ht="15" hidden="false" customHeight="false" outlineLevel="0" collapsed="false">
      <c r="A38" s="0" t="n">
        <v>36</v>
      </c>
      <c r="B38" s="54" t="n">
        <f aca="false">IF(C38&lt;=Part2!$G$5,A38,9999)</f>
        <v>9999</v>
      </c>
      <c r="C38" s="55" t="n">
        <f aca="false">IF(A38&lt;=(Part2!$C$16/Part2!$D$16),9999,D38/(A38*Part2!$D$16-Part2!$C$16)*60)</f>
        <v>9999</v>
      </c>
      <c r="D38" s="56" t="n">
        <f aca="false">IF(A38&lt;=(Part2!$C$16/Part2!$D$16),1,((Part2!$C$16/Part2!$D$16)^A38/FACT(A38)*A38/(A38-(Part2!$C$16/Part2!$D$16)))/(SUMPRODUCT(($L$3:$L$102&lt;A38)*((Part2!$C$16/Part2!$D$16)^$L$3:$L$102/FACT($L$3:$L$102)))+((Part2!$C$16/Part2!$D$16)^A38/FACT(A38)*A38/(A38-(Part2!$C$16/Part2!$D$16)))))</f>
        <v>1</v>
      </c>
      <c r="E38" s="54" t="n">
        <f aca="false">IF(F38&lt;=Part2!$G$7,A38,9999)</f>
        <v>36</v>
      </c>
      <c r="F38" s="55" t="n">
        <f aca="false">IF(A38&lt;=(Part2!$C$17/Part2!$D$17),9999,G38/(A38*Part2!$D$17-Part2!$C$17)*60)</f>
        <v>0.0230702666350517</v>
      </c>
      <c r="G38" s="56" t="n">
        <f aca="false">IF(A38&lt;=(Part2!$C$17/Part2!$D$17),1,((Part2!$C$17/Part2!$D$17)^A38/FACT(A38)*A38/(A38-(Part2!$C$17/Part2!$D$17)))/(SUMPRODUCT(($L$3:$L$102&lt;A38)*((Part2!$C$17/Part2!$D$17)^$L$3:$L$102/FACT($L$3:$L$102)))+((Part2!$C$17/Part2!$D$17)^A38/FACT(A38)*A38/(A38-(Part2!$C$17/Part2!$D$17)))))</f>
        <v>0.068858834149804</v>
      </c>
      <c r="H38" s="54" t="n">
        <f aca="false">IF(I38&lt;=Part2!$G$9,A38,9999)</f>
        <v>36</v>
      </c>
      <c r="I38" s="55" t="n">
        <f aca="false">IF(A38&lt;=(Part2!$C$18/Part2!$D$18),9999,J38/(A38*Part2!$D$18-Part2!$C$18)*60)</f>
        <v>6.44228403101709E-009</v>
      </c>
      <c r="J38" s="56" t="n">
        <f aca="false">IF(A38&lt;=(Part2!$C$18/Part2!$D$18),1,((Part2!$C$18/Part2!$D$18)^A38/FACT(A38)*A38/(A38-(Part2!$C$18/Part2!$D$18)))/(SUMPRODUCT(($L$3:$L$102&lt;A38)*((Part2!$C$18/Part2!$D$18)^$L$3:$L$102/FACT($L$3:$L$102)))+((Part2!$C$18/Part2!$D$18)^A38/FACT(A38)*A38/(A38-(Part2!$C$18/Part2!$D$18)))))</f>
        <v>1.47443910389485E-007</v>
      </c>
      <c r="L38" s="0" t="n">
        <v>35</v>
      </c>
    </row>
    <row r="39" customFormat="false" ht="15" hidden="false" customHeight="false" outlineLevel="0" collapsed="false">
      <c r="A39" s="0" t="n">
        <v>37</v>
      </c>
      <c r="B39" s="54" t="n">
        <f aca="false">IF(C39&lt;=Part2!$G$5,A39,9999)</f>
        <v>9999</v>
      </c>
      <c r="C39" s="55" t="n">
        <f aca="false">IF(A39&lt;=(Part2!$C$16/Part2!$D$16),9999,D39/(A39*Part2!$D$16-Part2!$C$16)*60)</f>
        <v>9999</v>
      </c>
      <c r="D39" s="56" t="n">
        <f aca="false">IF(A39&lt;=(Part2!$C$16/Part2!$D$16),1,((Part2!$C$16/Part2!$D$16)^A39/FACT(A39)*A39/(A39-(Part2!$C$16/Part2!$D$16)))/(SUMPRODUCT(($L$3:$L$102&lt;A39)*((Part2!$C$16/Part2!$D$16)^$L$3:$L$102/FACT($L$3:$L$102)))+((Part2!$C$16/Part2!$D$16)^A39/FACT(A39)*A39/(A39-(Part2!$C$16/Part2!$D$16)))))</f>
        <v>1</v>
      </c>
      <c r="E39" s="54" t="n">
        <f aca="false">IF(F39&lt;=Part2!$G$7,A39,9999)</f>
        <v>37</v>
      </c>
      <c r="F39" s="55" t="n">
        <f aca="false">IF(A39&lt;=(Part2!$C$17/Part2!$D$17),9999,G39/(A39*Part2!$D$17-Part2!$C$17)*60)</f>
        <v>0.0140978698678534</v>
      </c>
      <c r="G39" s="56" t="n">
        <f aca="false">IF(A39&lt;=(Part2!$C$17/Part2!$D$17),1,((Part2!$C$17/Part2!$D$17)^A39/FACT(A39)*A39/(A39-(Part2!$C$17/Part2!$D$17)))/(SUMPRODUCT(($L$3:$L$102&lt;A39)*((Part2!$C$17/Part2!$D$17)^$L$3:$L$102/FACT($L$3:$L$102)))+((Part2!$C$17/Part2!$D$17)^A39/FACT(A39)*A39/(A39-(Part2!$C$17/Part2!$D$17)))))</f>
        <v>0.04677781893234</v>
      </c>
      <c r="H39" s="54" t="n">
        <f aca="false">IF(I39&lt;=Part2!$G$9,A39,9999)</f>
        <v>37</v>
      </c>
      <c r="I39" s="55" t="n">
        <f aca="false">IF(A39&lt;=(Part2!$C$18/Part2!$D$18),9999,J39/(A39*Part2!$D$18-Part2!$C$18)*60)</f>
        <v>2.15425496675683E-009</v>
      </c>
      <c r="J39" s="56" t="n">
        <f aca="false">IF(A39&lt;=(Part2!$C$18/Part2!$D$18),1,((Part2!$C$18/Part2!$D$18)^A39/FACT(A39)*A39/(A39-(Part2!$C$18/Part2!$D$18)))/(SUMPRODUCT(($L$3:$L$102&lt;A39)*((Part2!$C$18/Part2!$D$18)^$L$3:$L$102/FACT($L$3:$L$102)))+((Part2!$C$18/Part2!$D$18)^A39/FACT(A39)*A39/(A39-(Part2!$C$18/Part2!$D$18)))))</f>
        <v>5.14584729654238E-008</v>
      </c>
      <c r="L39" s="0" t="n">
        <v>36</v>
      </c>
    </row>
    <row r="40" customFormat="false" ht="15" hidden="false" customHeight="false" outlineLevel="0" collapsed="false">
      <c r="A40" s="0" t="n">
        <v>38</v>
      </c>
      <c r="B40" s="54" t="n">
        <f aca="false">IF(C40&lt;=Part2!$G$5,A40,9999)</f>
        <v>9999</v>
      </c>
      <c r="C40" s="55" t="n">
        <f aca="false">IF(A40&lt;=(Part2!$C$16/Part2!$D$16),9999,D40/(A40*Part2!$D$16-Part2!$C$16)*60)</f>
        <v>9999</v>
      </c>
      <c r="D40" s="56" t="n">
        <f aca="false">IF(A40&lt;=(Part2!$C$16/Part2!$D$16),1,((Part2!$C$16/Part2!$D$16)^A40/FACT(A40)*A40/(A40-(Part2!$C$16/Part2!$D$16)))/(SUMPRODUCT(($L$3:$L$102&lt;A40)*((Part2!$C$16/Part2!$D$16)^$L$3:$L$102/FACT($L$3:$L$102)))+((Part2!$C$16/Part2!$D$16)^A40/FACT(A40)*A40/(A40-(Part2!$C$16/Part2!$D$16)))))</f>
        <v>1</v>
      </c>
      <c r="E40" s="54" t="n">
        <f aca="false">IF(F40&lt;=Part2!$G$7,A40,9999)</f>
        <v>38</v>
      </c>
      <c r="F40" s="55" t="n">
        <f aca="false">IF(A40&lt;=(Part2!$C$17/Part2!$D$17),9999,G40/(A40*Part2!$D$17-Part2!$C$17)*60)</f>
        <v>0.00853611961076568</v>
      </c>
      <c r="G40" s="56" t="n">
        <f aca="false">IF(A40&lt;=(Part2!$C$17/Part2!$D$17),1,((Part2!$C$17/Part2!$D$17)^A40/FACT(A40)*A40/(A40-(Part2!$C$17/Part2!$D$17)))/(SUMPRODUCT(($L$3:$L$102&lt;A40)*((Part2!$C$17/Part2!$D$17)^$L$3:$L$102/FACT($L$3:$L$102)))+((Part2!$C$17/Part2!$D$17)^A40/FACT(A40)*A40/(A40-(Part2!$C$17/Part2!$D$17)))))</f>
        <v>0.0311688760646624</v>
      </c>
      <c r="H40" s="54" t="n">
        <f aca="false">IF(I40&lt;=Part2!$G$9,A40,9999)</f>
        <v>38</v>
      </c>
      <c r="I40" s="55" t="n">
        <f aca="false">IF(A40&lt;=(Part2!$C$18/Part2!$D$18),9999,J40/(A40*Part2!$D$18-Part2!$C$18)*60)</f>
        <v>7.03361722061465E-010</v>
      </c>
      <c r="J40" s="56" t="n">
        <f aca="false">IF(A40&lt;=(Part2!$C$18/Part2!$D$18),1,((Part2!$C$18/Part2!$D$18)^A40/FACT(A40)*A40/(A40-(Part2!$C$18/Part2!$D$18)))/(SUMPRODUCT(($L$3:$L$102&lt;A40)*((Part2!$C$18/Part2!$D$18)^$L$3:$L$102/FACT($L$3:$L$102)))+((Part2!$C$18/Part2!$D$18)^A40/FACT(A40)*A40/(A40-(Part2!$C$18/Part2!$D$18)))))</f>
        <v>1.75044928407715E-008</v>
      </c>
      <c r="L40" s="0" t="n">
        <v>37</v>
      </c>
    </row>
    <row r="41" customFormat="false" ht="15" hidden="false" customHeight="false" outlineLevel="0" collapsed="false">
      <c r="A41" s="0" t="n">
        <v>39</v>
      </c>
      <c r="B41" s="54" t="n">
        <f aca="false">IF(C41&lt;=Part2!$G$5,A41,9999)</f>
        <v>9999</v>
      </c>
      <c r="C41" s="55" t="n">
        <f aca="false">IF(A41&lt;=(Part2!$C$16/Part2!$D$16),9999,D41/(A41*Part2!$D$16-Part2!$C$16)*60)</f>
        <v>9999</v>
      </c>
      <c r="D41" s="56" t="n">
        <f aca="false">IF(A41&lt;=(Part2!$C$16/Part2!$D$16),1,((Part2!$C$16/Part2!$D$16)^A41/FACT(A41)*A41/(A41-(Part2!$C$16/Part2!$D$16)))/(SUMPRODUCT(($L$3:$L$102&lt;A41)*((Part2!$C$16/Part2!$D$16)^$L$3:$L$102/FACT($L$3:$L$102)))+((Part2!$C$16/Part2!$D$16)^A41/FACT(A41)*A41/(A41-(Part2!$C$16/Part2!$D$16)))))</f>
        <v>1</v>
      </c>
      <c r="E41" s="54" t="n">
        <f aca="false">IF(F41&lt;=Part2!$G$7,A41,9999)</f>
        <v>39</v>
      </c>
      <c r="F41" s="55" t="n">
        <f aca="false">IF(A41&lt;=(Part2!$C$17/Part2!$D$17),9999,G41/(A41*Part2!$D$17-Part2!$C$17)*60)</f>
        <v>0.005110970951261</v>
      </c>
      <c r="G41" s="56" t="n">
        <f aca="false">IF(A41&lt;=(Part2!$C$17/Part2!$D$17),1,((Part2!$C$17/Part2!$D$17)^A41/FACT(A41)*A41/(A41-(Part2!$C$17/Part2!$D$17)))/(SUMPRODUCT(($L$3:$L$102&lt;A41)*((Part2!$C$17/Part2!$D$17)^$L$3:$L$102/FACT($L$3:$L$102)))+((Part2!$C$17/Part2!$D$17)^A41/FACT(A41)*A41/(A41-(Part2!$C$17/Part2!$D$17)))))</f>
        <v>0.0203659095544688</v>
      </c>
      <c r="H41" s="54" t="n">
        <f aca="false">IF(I41&lt;=Part2!$G$9,A41,9999)</f>
        <v>39</v>
      </c>
      <c r="I41" s="55" t="n">
        <f aca="false">IF(A41&lt;=(Part2!$C$18/Part2!$D$18),9999,J41/(A41*Part2!$D$18-Part2!$C$18)*60)</f>
        <v>2.24327243419585E-010</v>
      </c>
      <c r="J41" s="56" t="n">
        <f aca="false">IF(A41&lt;=(Part2!$C$18/Part2!$D$18),1,((Part2!$C$18/Part2!$D$18)^A41/FACT(A41)*A41/(A41-(Part2!$C$18/Part2!$D$18)))/(SUMPRODUCT(($L$3:$L$102&lt;A41)*((Part2!$C$18/Part2!$D$18)^$L$3:$L$102/FACT($L$3:$L$102)))+((Part2!$C$18/Part2!$D$18)^A41/FACT(A41)*A41/(A41-(Part2!$C$18/Part2!$D$18)))))</f>
        <v>5.80713691767846E-009</v>
      </c>
      <c r="L41" s="0" t="n">
        <v>38</v>
      </c>
    </row>
    <row r="42" customFormat="false" ht="15" hidden="false" customHeight="false" outlineLevel="0" collapsed="false">
      <c r="A42" s="0" t="n">
        <v>40</v>
      </c>
      <c r="B42" s="54" t="n">
        <f aca="false">IF(C42&lt;=Part2!$G$5,A42,9999)</f>
        <v>9999</v>
      </c>
      <c r="C42" s="55" t="n">
        <f aca="false">IF(A42&lt;=(Part2!$C$16/Part2!$D$16),9999,D42/(A42*Part2!$D$16-Part2!$C$16)*60)</f>
        <v>9999</v>
      </c>
      <c r="D42" s="56" t="n">
        <f aca="false">IF(A42&lt;=(Part2!$C$16/Part2!$D$16),1,((Part2!$C$16/Part2!$D$16)^A42/FACT(A42)*A42/(A42-(Part2!$C$16/Part2!$D$16)))/(SUMPRODUCT(($L$3:$L$102&lt;A42)*((Part2!$C$16/Part2!$D$16)^$L$3:$L$102/FACT($L$3:$L$102)))+((Part2!$C$16/Part2!$D$16)^A42/FACT(A42)*A42/(A42-(Part2!$C$16/Part2!$D$16)))))</f>
        <v>1</v>
      </c>
      <c r="E42" s="54" t="n">
        <f aca="false">IF(F42&lt;=Part2!$G$7,A42,9999)</f>
        <v>40</v>
      </c>
      <c r="F42" s="55" t="n">
        <f aca="false">IF(A42&lt;=(Part2!$C$17/Part2!$D$17),9999,G42/(A42*Part2!$D$17-Part2!$C$17)*60)</f>
        <v>0.00302156470826436</v>
      </c>
      <c r="G42" s="56" t="n">
        <f aca="false">IF(A42&lt;=(Part2!$C$17/Part2!$D$17),1,((Part2!$C$17/Part2!$D$17)^A42/FACT(A42)*A42/(A42-(Part2!$C$17/Part2!$D$17)))/(SUMPRODUCT(($L$3:$L$102&lt;A42)*((Part2!$C$17/Part2!$D$17)^$L$3:$L$102/FACT($L$3:$L$102)))+((Part2!$C$17/Part2!$D$17)^A42/FACT(A42)*A42/(A42-(Part2!$C$17/Part2!$D$17)))))</f>
        <v>0.0130473493225651</v>
      </c>
      <c r="H42" s="54" t="n">
        <f aca="false">IF(I42&lt;=Part2!$G$9,A42,9999)</f>
        <v>40</v>
      </c>
      <c r="I42" s="55" t="n">
        <f aca="false">IF(A42&lt;=(Part2!$C$18/Part2!$D$18),9999,J42/(A42*Part2!$D$18-Part2!$C$18)*60)</f>
        <v>6.99199991070361E-011</v>
      </c>
      <c r="J42" s="56" t="n">
        <f aca="false">IF(A42&lt;=(Part2!$C$18/Part2!$D$18),1,((Part2!$C$18/Part2!$D$18)^A42/FACT(A42)*A42/(A42-(Part2!$C$18/Part2!$D$18)))/(SUMPRODUCT(($L$3:$L$102&lt;A42)*((Part2!$C$18/Part2!$D$18)^$L$3:$L$102/FACT($L$3:$L$102)))+((Part2!$C$18/Part2!$D$18)^A42/FACT(A42)*A42/(A42-(Part2!$C$18/Part2!$D$18)))))</f>
        <v>1.87993202399097E-009</v>
      </c>
      <c r="L42" s="0" t="n">
        <v>39</v>
      </c>
    </row>
    <row r="43" customFormat="false" ht="15" hidden="false" customHeight="false" outlineLevel="0" collapsed="false">
      <c r="A43" s="0" t="n">
        <v>41</v>
      </c>
      <c r="B43" s="54" t="n">
        <f aca="false">IF(C43&lt;=Part2!$G$5,A43,9999)</f>
        <v>9999</v>
      </c>
      <c r="C43" s="55" t="n">
        <f aca="false">IF(A43&lt;=(Part2!$C$16/Part2!$D$16),9999,D43/(A43*Part2!$D$16-Part2!$C$16)*60)</f>
        <v>9999</v>
      </c>
      <c r="D43" s="56" t="n">
        <f aca="false">IF(A43&lt;=(Part2!$C$16/Part2!$D$16),1,((Part2!$C$16/Part2!$D$16)^A43/FACT(A43)*A43/(A43-(Part2!$C$16/Part2!$D$16)))/(SUMPRODUCT(($L$3:$L$102&lt;A43)*((Part2!$C$16/Part2!$D$16)^$L$3:$L$102/FACT($L$3:$L$102)))+((Part2!$C$16/Part2!$D$16)^A43/FACT(A43)*A43/(A43-(Part2!$C$16/Part2!$D$16)))))</f>
        <v>1</v>
      </c>
      <c r="E43" s="54" t="n">
        <f aca="false">IF(F43&lt;=Part2!$G$7,A43,9999)</f>
        <v>41</v>
      </c>
      <c r="F43" s="55" t="n">
        <f aca="false">IF(A43&lt;=(Part2!$C$17/Part2!$D$17),9999,G43/(A43*Part2!$D$17-Part2!$C$17)*60)</f>
        <v>0.00176180300435681</v>
      </c>
      <c r="G43" s="56" t="n">
        <f aca="false">IF(A43&lt;=(Part2!$C$17/Part2!$D$17),1,((Part2!$C$17/Part2!$D$17)^A43/FACT(A43)*A43/(A43-(Part2!$C$17/Part2!$D$17)))/(SUMPRODUCT(($L$3:$L$102&lt;A43)*((Part2!$C$17/Part2!$D$17)^$L$3:$L$102/FACT($L$3:$L$102)))+((Part2!$C$17/Part2!$D$17)^A43/FACT(A43)*A43/(A43-(Part2!$C$17/Part2!$D$17)))))</f>
        <v>0.00819486884657989</v>
      </c>
      <c r="H43" s="54" t="n">
        <f aca="false">IF(I43&lt;=Part2!$G$9,A43,9999)</f>
        <v>41</v>
      </c>
      <c r="I43" s="55" t="n">
        <f aca="false">IF(A43&lt;=(Part2!$C$18/Part2!$D$18),9999,J43/(A43*Part2!$D$18-Part2!$C$18)*60)</f>
        <v>2.13072686203935E-011</v>
      </c>
      <c r="J43" s="56" t="n">
        <f aca="false">IF(A43&lt;=(Part2!$C$18/Part2!$D$18),1,((Part2!$C$18/Part2!$D$18)^A43/FACT(A43)*A43/(A43-(Part2!$C$18/Part2!$D$18)))/(SUMPRODUCT(($L$3:$L$102&lt;A43)*((Part2!$C$18/Part2!$D$18)^$L$3:$L$102/FACT($L$3:$L$102)))+((Part2!$C$18/Part2!$D$18)^A43/FACT(A43)*A43/(A43-(Part2!$C$18/Part2!$D$18)))))</f>
        <v>5.94193669290051E-010</v>
      </c>
      <c r="L43" s="0" t="n">
        <v>40</v>
      </c>
    </row>
    <row r="44" customFormat="false" ht="15" hidden="false" customHeight="false" outlineLevel="0" collapsed="false">
      <c r="A44" s="0" t="n">
        <v>42</v>
      </c>
      <c r="B44" s="54" t="n">
        <f aca="false">IF(C44&lt;=Part2!$G$5,A44,9999)</f>
        <v>9999</v>
      </c>
      <c r="C44" s="55" t="n">
        <f aca="false">IF(A44&lt;=(Part2!$C$16/Part2!$D$16),9999,D44/(A44*Part2!$D$16-Part2!$C$16)*60)</f>
        <v>9999</v>
      </c>
      <c r="D44" s="56" t="n">
        <f aca="false">IF(A44&lt;=(Part2!$C$16/Part2!$D$16),1,((Part2!$C$16/Part2!$D$16)^A44/FACT(A44)*A44/(A44-(Part2!$C$16/Part2!$D$16)))/(SUMPRODUCT(($L$3:$L$102&lt;A44)*((Part2!$C$16/Part2!$D$16)^$L$3:$L$102/FACT($L$3:$L$102)))+((Part2!$C$16/Part2!$D$16)^A44/FACT(A44)*A44/(A44-(Part2!$C$16/Part2!$D$16)))))</f>
        <v>1</v>
      </c>
      <c r="E44" s="54" t="n">
        <f aca="false">IF(F44&lt;=Part2!$G$7,A44,9999)</f>
        <v>42</v>
      </c>
      <c r="F44" s="55" t="n">
        <f aca="false">IF(A44&lt;=(Part2!$C$17/Part2!$D$17),9999,G44/(A44*Part2!$D$17-Part2!$C$17)*60)</f>
        <v>0.00101230990806612</v>
      </c>
      <c r="G44" s="56" t="n">
        <f aca="false">IF(A44&lt;=(Part2!$C$17/Part2!$D$17),1,((Part2!$C$17/Part2!$D$17)^A44/FACT(A44)*A44/(A44-(Part2!$C$17/Part2!$D$17)))/(SUMPRODUCT(($L$3:$L$102&lt;A44)*((Part2!$C$17/Part2!$D$17)^$L$3:$L$102/FACT($L$3:$L$102)))+((Part2!$C$17/Part2!$D$17)^A44/FACT(A44)*A44/(A44-(Part2!$C$17/Part2!$D$17)))))</f>
        <v>0.00504610548729568</v>
      </c>
      <c r="H44" s="54" t="n">
        <f aca="false">IF(I44&lt;=Part2!$G$9,A44,9999)</f>
        <v>42</v>
      </c>
      <c r="I44" s="55" t="n">
        <f aca="false">IF(A44&lt;=(Part2!$C$18/Part2!$D$18),9999,J44/(A44*Part2!$D$18-Part2!$C$18)*60)</f>
        <v>6.35108463411933E-012</v>
      </c>
      <c r="J44" s="56" t="n">
        <f aca="false">IF(A44&lt;=(Part2!$C$18/Part2!$D$18),1,((Part2!$C$18/Part2!$D$18)^A44/FACT(A44)*A44/(A44-(Part2!$C$18/Part2!$D$18)))/(SUMPRODUCT(($L$3:$L$102&lt;A44)*((Part2!$C$18/Part2!$D$18)^$L$3:$L$102/FACT($L$3:$L$102)))+((Part2!$C$18/Part2!$D$18)^A44/FACT(A44)*A44/(A44-(Part2!$C$18/Part2!$D$18)))))</f>
        <v>1.83463146717342E-010</v>
      </c>
      <c r="L44" s="0" t="n">
        <v>41</v>
      </c>
    </row>
    <row r="45" customFormat="false" ht="15" hidden="false" customHeight="false" outlineLevel="0" collapsed="false">
      <c r="A45" s="0" t="n">
        <v>43</v>
      </c>
      <c r="B45" s="54" t="n">
        <f aca="false">IF(C45&lt;=Part2!$G$5,A45,9999)</f>
        <v>9999</v>
      </c>
      <c r="C45" s="55" t="n">
        <f aca="false">IF(A45&lt;=(Part2!$C$16/Part2!$D$16),9999,D45/(A45*Part2!$D$16-Part2!$C$16)*60)</f>
        <v>9999</v>
      </c>
      <c r="D45" s="56" t="n">
        <f aca="false">IF(A45&lt;=(Part2!$C$16/Part2!$D$16),1,((Part2!$C$16/Part2!$D$16)^A45/FACT(A45)*A45/(A45-(Part2!$C$16/Part2!$D$16)))/(SUMPRODUCT(($L$3:$L$102&lt;A45)*((Part2!$C$16/Part2!$D$16)^$L$3:$L$102/FACT($L$3:$L$102)))+((Part2!$C$16/Part2!$D$16)^A45/FACT(A45)*A45/(A45-(Part2!$C$16/Part2!$D$16)))))</f>
        <v>1</v>
      </c>
      <c r="E45" s="54" t="n">
        <f aca="false">IF(F45&lt;=Part2!$G$7,A45,9999)</f>
        <v>43</v>
      </c>
      <c r="F45" s="55" t="n">
        <f aca="false">IF(A45&lt;=(Part2!$C$17/Part2!$D$17),9999,G45/(A45*Part2!$D$17-Part2!$C$17)*60)</f>
        <v>0.000572833501274742</v>
      </c>
      <c r="G45" s="56" t="n">
        <f aca="false">IF(A45&lt;=(Part2!$C$17/Part2!$D$17),1,((Part2!$C$17/Part2!$D$17)^A45/FACT(A45)*A45/(A45-(Part2!$C$17/Part2!$D$17)))/(SUMPRODUCT(($L$3:$L$102&lt;A45)*((Part2!$C$17/Part2!$D$17)^$L$3:$L$102/FACT($L$3:$L$102)))+((Part2!$C$17/Part2!$D$17)^A45/FACT(A45)*A45/(A45-(Part2!$C$17/Part2!$D$17)))))</f>
        <v>0.0030463727156948</v>
      </c>
      <c r="H45" s="54" t="n">
        <f aca="false">IF(I45&lt;=Part2!$G$9,A45,9999)</f>
        <v>43</v>
      </c>
      <c r="I45" s="55" t="n">
        <f aca="false">IF(A45&lt;=(Part2!$C$18/Part2!$D$18),9999,J45/(A45*Part2!$D$18-Part2!$C$18)*60)</f>
        <v>1.85243986256749E-012</v>
      </c>
      <c r="J45" s="56" t="n">
        <f aca="false">IF(A45&lt;=(Part2!$C$18/Part2!$D$18),1,((Part2!$C$18/Part2!$D$18)^A45/FACT(A45)*A45/(A45-(Part2!$C$18/Part2!$D$18)))/(SUMPRODUCT(($L$3:$L$102&lt;A45)*((Part2!$C$18/Part2!$D$18)^$L$3:$L$102/FACT($L$3:$L$102)))+((Part2!$C$18/Part2!$D$18)^A45/FACT(A45)*A45/(A45-(Part2!$C$18/Part2!$D$18)))))</f>
        <v>5.53636849285685E-011</v>
      </c>
      <c r="L45" s="0" t="n">
        <v>42</v>
      </c>
    </row>
    <row r="46" customFormat="false" ht="15" hidden="false" customHeight="false" outlineLevel="0" collapsed="false">
      <c r="A46" s="0" t="n">
        <v>44</v>
      </c>
      <c r="B46" s="54" t="n">
        <f aca="false">IF(C46&lt;=Part2!$G$5,A46,9999)</f>
        <v>9999</v>
      </c>
      <c r="C46" s="55" t="n">
        <f aca="false">IF(A46&lt;=(Part2!$C$16/Part2!$D$16),9999,D46/(A46*Part2!$D$16-Part2!$C$16)*60)</f>
        <v>9999</v>
      </c>
      <c r="D46" s="56" t="n">
        <f aca="false">IF(A46&lt;=(Part2!$C$16/Part2!$D$16),1,((Part2!$C$16/Part2!$D$16)^A46/FACT(A46)*A46/(A46-(Part2!$C$16/Part2!$D$16)))/(SUMPRODUCT(($L$3:$L$102&lt;A46)*((Part2!$C$16/Part2!$D$16)^$L$3:$L$102/FACT($L$3:$L$102)))+((Part2!$C$16/Part2!$D$16)^A46/FACT(A46)*A46/(A46-(Part2!$C$16/Part2!$D$16)))))</f>
        <v>1</v>
      </c>
      <c r="E46" s="54" t="n">
        <f aca="false">IF(F46&lt;=Part2!$G$7,A46,9999)</f>
        <v>44</v>
      </c>
      <c r="F46" s="55" t="n">
        <f aca="false">IF(A46&lt;=(Part2!$C$17/Part2!$D$17),9999,G46/(A46*Part2!$D$17-Part2!$C$17)*60)</f>
        <v>0.000319083192609565</v>
      </c>
      <c r="G46" s="56" t="n">
        <f aca="false">IF(A46&lt;=(Part2!$C$17/Part2!$D$17),1,((Part2!$C$17/Part2!$D$17)^A46/FACT(A46)*A46/(A46-(Part2!$C$17/Part2!$D$17)))/(SUMPRODUCT(($L$3:$L$102&lt;A46)*((Part2!$C$17/Part2!$D$17)^$L$3:$L$102/FACT($L$3:$L$102)))+((Part2!$C$17/Part2!$D$17)^A46/FACT(A46)*A46/(A46-(Part2!$C$17/Part2!$D$17)))))</f>
        <v>0.00180327007849695</v>
      </c>
      <c r="H46" s="54" t="n">
        <f aca="false">IF(I46&lt;=Part2!$G$9,A46,9999)</f>
        <v>44</v>
      </c>
      <c r="I46" s="55" t="n">
        <f aca="false">IF(A46&lt;=(Part2!$C$18/Part2!$D$18),9999,J46/(A46*Part2!$D$18-Part2!$C$18)*60)</f>
        <v>5.28925045903516E-013</v>
      </c>
      <c r="J46" s="56" t="n">
        <f aca="false">IF(A46&lt;=(Part2!$C$18/Part2!$D$18),1,((Part2!$C$18/Part2!$D$18)^A46/FACT(A46)*A46/(A46-(Part2!$C$18/Part2!$D$18)))/(SUMPRODUCT(($L$3:$L$102&lt;A46)*((Part2!$C$18/Part2!$D$18)^$L$3:$L$102/FACT($L$3:$L$102)))+((Part2!$C$18/Part2!$D$18)^A46/FACT(A46)*A46/(A46-(Part2!$C$18/Part2!$D$18)))))</f>
        <v>1.63368550003173E-011</v>
      </c>
      <c r="L46" s="0" t="n">
        <v>43</v>
      </c>
    </row>
    <row r="47" customFormat="false" ht="15" hidden="false" customHeight="false" outlineLevel="0" collapsed="false">
      <c r="A47" s="0" t="n">
        <v>45</v>
      </c>
      <c r="B47" s="54" t="n">
        <f aca="false">IF(C47&lt;=Part2!$G$5,A47,9999)</f>
        <v>9999</v>
      </c>
      <c r="C47" s="55" t="n">
        <f aca="false">IF(A47&lt;=(Part2!$C$16/Part2!$D$16),9999,D47/(A47*Part2!$D$16-Part2!$C$16)*60)</f>
        <v>9999</v>
      </c>
      <c r="D47" s="56" t="n">
        <f aca="false">IF(A47&lt;=(Part2!$C$16/Part2!$D$16),1,((Part2!$C$16/Part2!$D$16)^A47/FACT(A47)*A47/(A47-(Part2!$C$16/Part2!$D$16)))/(SUMPRODUCT(($L$3:$L$102&lt;A47)*((Part2!$C$16/Part2!$D$16)^$L$3:$L$102/FACT($L$3:$L$102)))+((Part2!$C$16/Part2!$D$16)^A47/FACT(A47)*A47/(A47-(Part2!$C$16/Part2!$D$16)))))</f>
        <v>1</v>
      </c>
      <c r="E47" s="54" t="n">
        <f aca="false">IF(F47&lt;=Part2!$G$7,A47,9999)</f>
        <v>45</v>
      </c>
      <c r="F47" s="55" t="n">
        <f aca="false">IF(A47&lt;=(Part2!$C$17/Part2!$D$17),9999,G47/(A47*Part2!$D$17-Part2!$C$17)*60)</f>
        <v>0.000174904092323361</v>
      </c>
      <c r="G47" s="56" t="n">
        <f aca="false">IF(A47&lt;=(Part2!$C$17/Part2!$D$17),1,((Part2!$C$17/Part2!$D$17)^A47/FACT(A47)*A47/(A47-(Part2!$C$17/Part2!$D$17)))/(SUMPRODUCT(($L$3:$L$102&lt;A47)*((Part2!$C$17/Part2!$D$17)^$L$3:$L$102/FACT($L$3:$L$102)))+((Part2!$C$17/Part2!$D$17)^A47/FACT(A47)*A47/(A47-(Part2!$C$17/Part2!$D$17)))))</f>
        <v>0.00104675617338166</v>
      </c>
      <c r="H47" s="54" t="n">
        <f aca="false">IF(I47&lt;=Part2!$G$9,A47,9999)</f>
        <v>45</v>
      </c>
      <c r="I47" s="55" t="n">
        <f aca="false">IF(A47&lt;=(Part2!$C$18/Part2!$D$18),9999,J47/(A47*Part2!$D$18-Part2!$C$18)*60)</f>
        <v>1.47900919329255E-013</v>
      </c>
      <c r="J47" s="56" t="n">
        <f aca="false">IF(A47&lt;=(Part2!$C$18/Part2!$D$18),1,((Part2!$C$18/Part2!$D$18)^A47/FACT(A47)*A47/(A47-(Part2!$C$18/Part2!$D$18)))/(SUMPRODUCT(($L$3:$L$102&lt;A47)*((Part2!$C$18/Part2!$D$18)^$L$3:$L$102/FACT($L$3:$L$102)))+((Part2!$C$18/Part2!$D$18)^A47/FACT(A47)*A47/(A47-(Part2!$C$18/Part2!$D$18)))))</f>
        <v>4.71610182456001E-012</v>
      </c>
      <c r="L47" s="0" t="n">
        <v>44</v>
      </c>
    </row>
    <row r="48" customFormat="false" ht="15" hidden="false" customHeight="false" outlineLevel="0" collapsed="false">
      <c r="A48" s="0" t="n">
        <v>46</v>
      </c>
      <c r="B48" s="54" t="n">
        <f aca="false">IF(C48&lt;=Part2!$G$5,A48,9999)</f>
        <v>9999</v>
      </c>
      <c r="C48" s="55" t="n">
        <f aca="false">IF(A48&lt;=(Part2!$C$16/Part2!$D$16),9999,D48/(A48*Part2!$D$16-Part2!$C$16)*60)</f>
        <v>9999</v>
      </c>
      <c r="D48" s="56" t="n">
        <f aca="false">IF(A48&lt;=(Part2!$C$16/Part2!$D$16),1,((Part2!$C$16/Part2!$D$16)^A48/FACT(A48)*A48/(A48-(Part2!$C$16/Part2!$D$16)))/(SUMPRODUCT(($L$3:$L$102&lt;A48)*((Part2!$C$16/Part2!$D$16)^$L$3:$L$102/FACT($L$3:$L$102)))+((Part2!$C$16/Part2!$D$16)^A48/FACT(A48)*A48/(A48-(Part2!$C$16/Part2!$D$16)))))</f>
        <v>1</v>
      </c>
      <c r="E48" s="54" t="n">
        <f aca="false">IF(F48&lt;=Part2!$G$7,A48,9999)</f>
        <v>46</v>
      </c>
      <c r="F48" s="55" t="n">
        <f aca="false">IF(A48&lt;=(Part2!$C$17/Part2!$D$17),9999,G48/(A48*Part2!$D$17-Part2!$C$17)*60)</f>
        <v>9.43240591712493E-005</v>
      </c>
      <c r="G48" s="56" t="n">
        <f aca="false">IF(A48&lt;=(Part2!$C$17/Part2!$D$17),1,((Part2!$C$17/Part2!$D$17)^A48/FACT(A48)*A48/(A48-(Part2!$C$17/Part2!$D$17)))/(SUMPRODUCT(($L$3:$L$102&lt;A48)*((Part2!$C$17/Part2!$D$17)^$L$3:$L$102/FACT($L$3:$L$102)))+((Part2!$C$17/Part2!$D$17)^A48/FACT(A48)*A48/(A48-(Part2!$C$17/Part2!$D$17)))))</f>
        <v>0.000595946676656847</v>
      </c>
      <c r="H48" s="54" t="n">
        <f aca="false">IF(I48&lt;=Part2!$G$9,A48,9999)</f>
        <v>46</v>
      </c>
      <c r="I48" s="55" t="n">
        <f aca="false">IF(A48&lt;=(Part2!$C$18/Part2!$D$18),9999,J48/(A48*Part2!$D$18-Part2!$C$18)*60)</f>
        <v>4.05174828493277E-014</v>
      </c>
      <c r="J48" s="56" t="n">
        <f aca="false">IF(A48&lt;=(Part2!$C$18/Part2!$D$18),1,((Part2!$C$18/Part2!$D$18)^A48/FACT(A48)*A48/(A48-(Part2!$C$18/Part2!$D$18)))/(SUMPRODUCT(($L$3:$L$102&lt;A48)*((Part2!$C$18/Part2!$D$18)^$L$3:$L$102/FACT($L$3:$L$102)))+((Part2!$C$18/Part2!$D$18)^A48/FACT(A48)*A48/(A48-(Part2!$C$18/Part2!$D$18)))))</f>
        <v>1.33249440671756E-012</v>
      </c>
      <c r="L48" s="0" t="n">
        <v>45</v>
      </c>
    </row>
    <row r="49" customFormat="false" ht="15" hidden="false" customHeight="false" outlineLevel="0" collapsed="false">
      <c r="A49" s="0" t="n">
        <v>47</v>
      </c>
      <c r="B49" s="54" t="n">
        <f aca="false">IF(C49&lt;=Part2!$G$5,A49,9999)</f>
        <v>9999</v>
      </c>
      <c r="C49" s="55" t="n">
        <f aca="false">IF(A49&lt;=(Part2!$C$16/Part2!$D$16),9999,D49/(A49*Part2!$D$16-Part2!$C$16)*60)</f>
        <v>12.8769777808982</v>
      </c>
      <c r="D49" s="56" t="n">
        <f aca="false">IF(A49&lt;=(Part2!$C$16/Part2!$D$16),1,((Part2!$C$16/Part2!$D$16)^A49/FACT(A49)*A49/(A49-(Part2!$C$16/Part2!$D$16)))/(SUMPRODUCT(($L$3:$L$102&lt;A49)*((Part2!$C$16/Part2!$D$16)^$L$3:$L$102/FACT($L$3:$L$102)))+((Part2!$C$16/Part2!$D$16)^A49/FACT(A49)*A49/(A49-(Part2!$C$16/Part2!$D$16)))))</f>
        <v>0.983286023349385</v>
      </c>
      <c r="E49" s="54" t="n">
        <f aca="false">IF(F49&lt;=Part2!$G$7,A49,9999)</f>
        <v>47</v>
      </c>
      <c r="F49" s="55" t="n">
        <f aca="false">IF(A49&lt;=(Part2!$C$17/Part2!$D$17),9999,G49/(A49*Part2!$D$17-Part2!$C$17)*60)</f>
        <v>5.00396144355078E-005</v>
      </c>
      <c r="G49" s="56" t="n">
        <f aca="false">IF(A49&lt;=(Part2!$C$17/Part2!$D$17),1,((Part2!$C$17/Part2!$D$17)^A49/FACT(A49)*A49/(A49-(Part2!$C$17/Part2!$D$17)))/(SUMPRODUCT(($L$3:$L$102&lt;A49)*((Part2!$C$17/Part2!$D$17)^$L$3:$L$102/FACT($L$3:$L$102)))+((Part2!$C$17/Part2!$D$17)^A49/FACT(A49)*A49/(A49-(Part2!$C$17/Part2!$D$17)))))</f>
        <v>0.00033283401270232</v>
      </c>
      <c r="H49" s="54" t="n">
        <f aca="false">IF(I49&lt;=Part2!$G$9,A49,9999)</f>
        <v>47</v>
      </c>
      <c r="I49" s="55" t="n">
        <f aca="false">IF(A49&lt;=(Part2!$C$18/Part2!$D$18),9999,J49/(A49*Part2!$D$18-Part2!$C$18)*60)</f>
        <v>1.0878579547782E-014</v>
      </c>
      <c r="J49" s="56" t="n">
        <f aca="false">IF(A49&lt;=(Part2!$C$18/Part2!$D$18),1,((Part2!$C$18/Part2!$D$18)^A49/FACT(A49)*A49/(A49-(Part2!$C$18/Part2!$D$18)))/(SUMPRODUCT(($L$3:$L$102&lt;A49)*((Part2!$C$18/Part2!$D$18)^$L$3:$L$102/FACT($L$3:$L$102)))+((Part2!$C$18/Part2!$D$18)^A49/FACT(A49)*A49/(A49-(Part2!$C$18/Part2!$D$18)))))</f>
        <v>3.68641337277734E-013</v>
      </c>
      <c r="L49" s="0" t="n">
        <v>46</v>
      </c>
    </row>
    <row r="50" customFormat="false" ht="15" hidden="false" customHeight="false" outlineLevel="0" collapsed="false">
      <c r="A50" s="0" t="n">
        <v>48</v>
      </c>
      <c r="B50" s="54" t="n">
        <f aca="false">IF(C50&lt;=Part2!$G$5,A50,9999)</f>
        <v>48</v>
      </c>
      <c r="C50" s="55" t="n">
        <f aca="false">IF(A50&lt;=(Part2!$C$16/Part2!$D$16),9999,D50/(A50*Part2!$D$16-Part2!$C$16)*60)</f>
        <v>0.936209501361446</v>
      </c>
      <c r="D50" s="56" t="n">
        <f aca="false">IF(A50&lt;=(Part2!$C$16/Part2!$D$16),1,((Part2!$C$16/Part2!$D$16)^A50/FACT(A50)*A50/(A50-(Part2!$C$16/Part2!$D$16)))/(SUMPRODUCT(($L$3:$L$102&lt;A50)*((Part2!$C$16/Part2!$D$16)^$L$3:$L$102/FACT($L$3:$L$102)))+((Part2!$C$16/Part2!$D$16)^A50/FACT(A50)*A50/(A50-(Part2!$C$16/Part2!$D$16)))))</f>
        <v>0.820456558613117</v>
      </c>
      <c r="E50" s="54" t="n">
        <f aca="false">IF(F50&lt;=Part2!$G$7,A50,9999)</f>
        <v>48</v>
      </c>
      <c r="F50" s="55" t="n">
        <f aca="false">IF(A50&lt;=(Part2!$C$17/Part2!$D$17),9999,G50/(A50*Part2!$D$17-Part2!$C$17)*60)</f>
        <v>2.61123485259132E-005</v>
      </c>
      <c r="G50" s="56" t="n">
        <f aca="false">IF(A50&lt;=(Part2!$C$17/Part2!$D$17),1,((Part2!$C$17/Part2!$D$17)^A50/FACT(A50)*A50/(A50-(Part2!$C$17/Part2!$D$17)))/(SUMPRODUCT(($L$3:$L$102&lt;A50)*((Part2!$C$17/Part2!$D$17)^$L$3:$L$102/FACT($L$3:$L$102)))+((Part2!$C$17/Part2!$D$17)^A50/FACT(A50)*A50/(A50-(Part2!$C$17/Part2!$D$17)))))</f>
        <v>0.000182388063164194</v>
      </c>
      <c r="H50" s="54" t="n">
        <f aca="false">IF(I50&lt;=Part2!$G$9,A50,9999)</f>
        <v>48</v>
      </c>
      <c r="I50" s="55" t="n">
        <f aca="false">IF(A50&lt;=(Part2!$C$18/Part2!$D$18),9999,J50/(A50*Part2!$D$18-Part2!$C$18)*60)</f>
        <v>2.86364137307094E-015</v>
      </c>
      <c r="J50" s="56" t="n">
        <f aca="false">IF(A50&lt;=(Part2!$C$18/Part2!$D$18),1,((Part2!$C$18/Part2!$D$18)^A50/FACT(A50)*A50/(A50-(Part2!$C$18/Part2!$D$18)))/(SUMPRODUCT(($L$3:$L$102&lt;A50)*((Part2!$C$18/Part2!$D$18)^$L$3:$L$102/FACT($L$3:$L$102)))+((Part2!$C$18/Part2!$D$18)^A50/FACT(A50)*A50/(A50-(Part2!$C$18/Part2!$D$18)))))</f>
        <v>9.99035702181884E-014</v>
      </c>
      <c r="L50" s="0" t="n">
        <v>47</v>
      </c>
    </row>
    <row r="51" customFormat="false" ht="15" hidden="false" customHeight="false" outlineLevel="0" collapsed="false">
      <c r="A51" s="0" t="n">
        <v>49</v>
      </c>
      <c r="B51" s="54" t="n">
        <f aca="false">IF(C51&lt;=Part2!$G$5,A51,9999)</f>
        <v>49</v>
      </c>
      <c r="C51" s="55" t="n">
        <f aca="false">IF(A51&lt;=(Part2!$C$16/Part2!$D$16),9999,D51/(A51*Part2!$D$16-Part2!$C$16)*60)</f>
        <v>0.404962719759258</v>
      </c>
      <c r="D51" s="56" t="n">
        <f aca="false">IF(A51&lt;=(Part2!$C$16/Part2!$D$16),1,((Part2!$C$16/Part2!$D$16)^A51/FACT(A51)*A51/(A51-(Part2!$C$16/Part2!$D$16)))/(SUMPRODUCT(($L$3:$L$102&lt;A51)*((Part2!$C$16/Part2!$D$16)^$L$3:$L$102/FACT($L$3:$L$102)))+((Part2!$C$16/Part2!$D$16)^A51/FACT(A51)*A51/(A51-(Part2!$C$16/Part2!$D$16)))))</f>
        <v>0.678863304895629</v>
      </c>
      <c r="E51" s="54" t="n">
        <f aca="false">IF(F51&lt;=Part2!$G$7,A51,9999)</f>
        <v>49</v>
      </c>
      <c r="F51" s="55" t="n">
        <f aca="false">IF(A51&lt;=(Part2!$C$17/Part2!$D$17),9999,G51/(A51*Part2!$D$17-Part2!$C$17)*60)</f>
        <v>1.34033406561798E-005</v>
      </c>
      <c r="G51" s="56" t="n">
        <f aca="false">IF(A51&lt;=(Part2!$C$17/Part2!$D$17),1,((Part2!$C$17/Part2!$D$17)^A51/FACT(A51)*A51/(A51-(Part2!$C$17/Part2!$D$17)))/(SUMPRODUCT(($L$3:$L$102&lt;A51)*((Part2!$C$17/Part2!$D$17)^$L$3:$L$102/FACT($L$3:$L$102)))+((Part2!$C$17/Part2!$D$17)^A51/FACT(A51)*A51/(A51-(Part2!$C$17/Part2!$D$17)))))</f>
        <v>9.80866800960995E-005</v>
      </c>
      <c r="H51" s="54" t="n">
        <f aca="false">IF(I51&lt;=Part2!$G$9,A51,9999)</f>
        <v>49</v>
      </c>
      <c r="I51" s="55" t="n">
        <f aca="false">IF(A51&lt;=(Part2!$C$18/Part2!$D$18),9999,J51/(A51*Part2!$D$18-Part2!$C$18)*60)</f>
        <v>7.39325415187705E-016</v>
      </c>
      <c r="J51" s="56" t="n">
        <f aca="false">IF(A51&lt;=(Part2!$C$18/Part2!$D$18),1,((Part2!$C$18/Part2!$D$18)^A51/FACT(A51)*A51/(A51-(Part2!$C$18/Part2!$D$18)))/(SUMPRODUCT(($L$3:$L$102&lt;A51)*((Part2!$C$18/Part2!$D$18)^$L$3:$L$102/FACT($L$3:$L$102)))+((Part2!$C$18/Part2!$D$18)^A51/FACT(A51)*A51/(A51-(Part2!$C$18/Part2!$D$18)))))</f>
        <v>2.65320972422996E-014</v>
      </c>
      <c r="L51" s="0" t="n">
        <v>48</v>
      </c>
    </row>
    <row r="52" customFormat="false" ht="15" hidden="false" customHeight="false" outlineLevel="0" collapsed="false">
      <c r="A52" s="0" t="n">
        <v>50</v>
      </c>
      <c r="B52" s="54" t="n">
        <f aca="false">IF(C52&lt;=Part2!$G$5,A52,9999)</f>
        <v>50</v>
      </c>
      <c r="C52" s="55" t="n">
        <f aca="false">IF(A52&lt;=(Part2!$C$16/Part2!$D$16),9999,D52/(A52*Part2!$D$16-Part2!$C$16)*60)</f>
        <v>0.224841339179573</v>
      </c>
      <c r="D52" s="56" t="n">
        <f aca="false">IF(A52&lt;=(Part2!$C$16/Part2!$D$16),1,((Part2!$C$16/Part2!$D$16)^A52/FACT(A52)*A52/(A52-(Part2!$C$16/Part2!$D$16)))/(SUMPRODUCT(($L$3:$L$102&lt;A52)*((Part2!$C$16/Part2!$D$16)^$L$3:$L$102/FACT($L$3:$L$102)))+((Part2!$C$16/Part2!$D$16)^A52/FACT(A52)*A52/(A52-(Part2!$C$16/Part2!$D$16)))))</f>
        <v>0.556788098690728</v>
      </c>
      <c r="E52" s="54" t="n">
        <f aca="false">IF(F52&lt;=Part2!$G$7,A52,9999)</f>
        <v>50</v>
      </c>
      <c r="F52" s="55" t="n">
        <f aca="false">IF(A52&lt;=(Part2!$C$17/Part2!$D$17),9999,G52/(A52*Part2!$D$17-Part2!$C$17)*60)</f>
        <v>6.76750046089778E-006</v>
      </c>
      <c r="G52" s="56" t="n">
        <f aca="false">IF(A52&lt;=(Part2!$C$17/Part2!$D$17),1,((Part2!$C$17/Part2!$D$17)^A52/FACT(A52)*A52/(A52-(Part2!$C$17/Part2!$D$17)))/(SUMPRODUCT(($L$3:$L$102&lt;A52)*((Part2!$C$17/Part2!$D$17)^$L$3:$L$102/FACT($L$3:$L$102)))+((Part2!$C$17/Part2!$D$17)^A52/FACT(A52)*A52/(A52-(Part2!$C$17/Part2!$D$17)))))</f>
        <v>5.17809235213098E-005</v>
      </c>
      <c r="H52" s="54" t="n">
        <f aca="false">IF(I52&lt;=Part2!$G$9,A52,9999)</f>
        <v>50</v>
      </c>
      <c r="I52" s="55" t="n">
        <f aca="false">IF(A52&lt;=(Part2!$C$18/Part2!$D$18),9999,J52/(A52*Part2!$D$18-Part2!$C$18)*60)</f>
        <v>1.87271850209915E-016</v>
      </c>
      <c r="J52" s="56" t="n">
        <f aca="false">IF(A52&lt;=(Part2!$C$18/Part2!$D$18),1,((Part2!$C$18/Part2!$D$18)^A52/FACT(A52)*A52/(A52-(Part2!$C$18/Part2!$D$18)))/(SUMPRODUCT(($L$3:$L$102&lt;A52)*((Part2!$C$18/Part2!$D$18)^$L$3:$L$102/FACT($L$3:$L$102)))+((Part2!$C$18/Part2!$D$18)^A52/FACT(A52)*A52/(A52-(Part2!$C$18/Part2!$D$18)))))</f>
        <v>6.90787801150811E-015</v>
      </c>
      <c r="L52" s="0" t="n">
        <v>49</v>
      </c>
    </row>
    <row r="53" customFormat="false" ht="15" hidden="false" customHeight="false" outlineLevel="0" collapsed="false">
      <c r="A53" s="0" t="n">
        <v>51</v>
      </c>
      <c r="B53" s="54" t="n">
        <f aca="false">IF(C53&lt;=Part2!$G$5,A53,9999)</f>
        <v>51</v>
      </c>
      <c r="C53" s="55" t="n">
        <f aca="false">IF(A53&lt;=(Part2!$C$16/Part2!$D$16),9999,D53/(A53*Part2!$D$16-Part2!$C$16)*60)</f>
        <v>0.138107740246369</v>
      </c>
      <c r="D53" s="56" t="n">
        <f aca="false">IF(A53&lt;=(Part2!$C$16/Part2!$D$16),1,((Part2!$C$16/Part2!$D$16)^A53/FACT(A53)*A53/(A53-(Part2!$C$16/Part2!$D$16)))/(SUMPRODUCT(($L$3:$L$102&lt;A53)*((Part2!$C$16/Part2!$D$16)^$L$3:$L$102/FACT($L$3:$L$102)))+((Part2!$C$16/Part2!$D$16)^A53/FACT(A53)*A53/(A53-(Part2!$C$16/Part2!$D$16)))))</f>
        <v>0.452490675833593</v>
      </c>
      <c r="E53" s="54" t="n">
        <f aca="false">IF(F53&lt;=Part2!$G$7,A53,9999)</f>
        <v>51</v>
      </c>
      <c r="F53" s="55" t="n">
        <f aca="false">IF(A53&lt;=(Part2!$C$17/Part2!$D$17),9999,G53/(A53*Part2!$D$17-Part2!$C$17)*60)</f>
        <v>3.36139196282563E-006</v>
      </c>
      <c r="G53" s="56" t="n">
        <f aca="false">IF(A53&lt;=(Part2!$C$17/Part2!$D$17),1,((Part2!$C$17/Part2!$D$17)^A53/FACT(A53)*A53/(A53-(Part2!$C$17/Part2!$D$17)))/(SUMPRODUCT(($L$3:$L$102&lt;A53)*((Part2!$C$17/Part2!$D$17)^$L$3:$L$102/FACT($L$3:$L$102)))+((Part2!$C$17/Part2!$D$17)^A53/FACT(A53)*A53/(A53-(Part2!$C$17/Part2!$D$17)))))</f>
        <v>2.68398534664722E-005</v>
      </c>
      <c r="H53" s="54" t="n">
        <f aca="false">IF(I53&lt;=Part2!$G$9,A53,9999)</f>
        <v>51</v>
      </c>
      <c r="I53" s="55" t="n">
        <f aca="false">IF(A53&lt;=(Part2!$C$18/Part2!$D$18),9999,J53/(A53*Part2!$D$18-Part2!$C$18)*60)</f>
        <v>4.65558267555741E-017</v>
      </c>
      <c r="J53" s="56" t="n">
        <f aca="false">IF(A53&lt;=(Part2!$C$18/Part2!$D$18),1,((Part2!$C$18/Part2!$D$18)^A53/FACT(A53)*A53/(A53-(Part2!$C$18/Part2!$D$18)))/(SUMPRODUCT(($L$3:$L$102&lt;A53)*((Part2!$C$18/Part2!$D$18)^$L$3:$L$102/FACT($L$3:$L$102)))+((Part2!$C$18/Part2!$D$18)^A53/FACT(A53)*A53/(A53-(Part2!$C$18/Part2!$D$18)))))</f>
        <v>1.76385595270576E-015</v>
      </c>
      <c r="L53" s="0" t="n">
        <v>50</v>
      </c>
    </row>
    <row r="54" customFormat="false" ht="15" hidden="false" customHeight="false" outlineLevel="0" collapsed="false">
      <c r="A54" s="0" t="n">
        <v>52</v>
      </c>
      <c r="B54" s="54" t="n">
        <f aca="false">IF(C54&lt;=Part2!$G$5,A54,9999)</f>
        <v>52</v>
      </c>
      <c r="C54" s="55" t="n">
        <f aca="false">IF(A54&lt;=(Part2!$C$16/Part2!$D$16),9999,D54/(A54*Part2!$D$16-Part2!$C$16)*60)</f>
        <v>0.0893517457909273</v>
      </c>
      <c r="D54" s="56" t="n">
        <f aca="false">IF(A54&lt;=(Part2!$C$16/Part2!$D$16),1,((Part2!$C$16/Part2!$D$16)^A54/FACT(A54)*A54/(A54-(Part2!$C$16/Part2!$D$16)))/(SUMPRODUCT(($L$3:$L$102&lt;A54)*((Part2!$C$16/Part2!$D$16)^$L$3:$L$102/FACT($L$3:$L$102)))+((Part2!$C$16/Part2!$D$16)^A54/FACT(A54)*A54/(A54-(Part2!$C$16/Part2!$D$16)))))</f>
        <v>0.364229882472304</v>
      </c>
      <c r="E54" s="54" t="n">
        <f aca="false">IF(F54&lt;=Part2!$G$7,A54,9999)</f>
        <v>52</v>
      </c>
      <c r="F54" s="55" t="n">
        <f aca="false">IF(A54&lt;=(Part2!$C$17/Part2!$D$17),9999,G54/(A54*Part2!$D$17-Part2!$C$17)*60)</f>
        <v>1.64257286568816E-006</v>
      </c>
      <c r="G54" s="56" t="n">
        <f aca="false">IF(A54&lt;=(Part2!$C$17/Part2!$D$17),1,((Part2!$C$17/Part2!$D$17)^A54/FACT(A54)*A54/(A54-(Part2!$C$17/Part2!$D$17)))/(SUMPRODUCT(($L$3:$L$102&lt;A54)*((Part2!$C$17/Part2!$D$17)^$L$3:$L$102/FACT($L$3:$L$102)))+((Part2!$C$17/Part2!$D$17)^A54/FACT(A54)*A54/(A54-(Part2!$C$17/Part2!$D$17)))))</f>
        <v>1.36630477117858E-005</v>
      </c>
      <c r="H54" s="54" t="n">
        <f aca="false">IF(I54&lt;=Part2!$G$9,A54,9999)</f>
        <v>52</v>
      </c>
      <c r="I54" s="55" t="n">
        <f aca="false">IF(A54&lt;=(Part2!$C$18/Part2!$D$18),9999,J54/(A54*Part2!$D$18-Part2!$C$18)*60)</f>
        <v>1.13626789837052E-017</v>
      </c>
      <c r="J54" s="56" t="n">
        <f aca="false">IF(A54&lt;=(Part2!$C$18/Part2!$D$18),1,((Part2!$C$18/Part2!$D$18)^A54/FACT(A54)*A54/(A54-(Part2!$C$18/Part2!$D$18)))/(SUMPRODUCT(($L$3:$L$102&lt;A54)*((Part2!$C$18/Part2!$D$18)^$L$3:$L$102/FACT($L$3:$L$102)))+((Part2!$C$18/Part2!$D$18)^A54/FACT(A54)*A54/(A54-(Part2!$C$18/Part2!$D$18)))))</f>
        <v>4.41859361371445E-016</v>
      </c>
      <c r="L54" s="0" t="n">
        <v>51</v>
      </c>
    </row>
    <row r="55" customFormat="false" ht="15" hidden="false" customHeight="false" outlineLevel="0" collapsed="false">
      <c r="A55" s="0" t="n">
        <v>53</v>
      </c>
      <c r="B55" s="54" t="n">
        <f aca="false">IF(C55&lt;=Part2!$G$5,A55,9999)</f>
        <v>53</v>
      </c>
      <c r="C55" s="55" t="n">
        <f aca="false">IF(A55&lt;=(Part2!$C$16/Part2!$D$16),9999,D55/(A55*Part2!$D$16-Part2!$C$16)*60)</f>
        <v>0.0595292970825254</v>
      </c>
      <c r="D55" s="56" t="n">
        <f aca="false">IF(A55&lt;=(Part2!$C$16/Part2!$D$16),1,((Part2!$C$16/Part2!$D$16)^A55/FACT(A55)*A55/(A55-(Part2!$C$16/Part2!$D$16)))/(SUMPRODUCT(($L$3:$L$102&lt;A55)*((Part2!$C$16/Part2!$D$16)^$L$3:$L$102/FACT($L$3:$L$102)))+((Part2!$C$16/Part2!$D$16)^A55/FACT(A55)*A55/(A55-(Part2!$C$16/Part2!$D$16)))))</f>
        <v>0.290286283121343</v>
      </c>
      <c r="E55" s="54" t="n">
        <f aca="false">IF(F55&lt;=Part2!$G$7,A55,9999)</f>
        <v>53</v>
      </c>
      <c r="F55" s="55" t="n">
        <f aca="false">IF(A55&lt;=(Part2!$C$17/Part2!$D$17),9999,G55/(A55*Part2!$D$17-Part2!$C$17)*60)</f>
        <v>7.8975575793469E-007</v>
      </c>
      <c r="G55" s="56" t="n">
        <f aca="false">IF(A55&lt;=(Part2!$C$17/Part2!$D$17),1,((Part2!$C$17/Part2!$D$17)^A55/FACT(A55)*A55/(A55-(Part2!$C$17/Part2!$D$17)))/(SUMPRODUCT(($L$3:$L$102&lt;A55)*((Part2!$C$17/Part2!$D$17)^$L$3:$L$102/FACT($L$3:$L$102)))+((Part2!$C$17/Part2!$D$17)^A55/FACT(A55)*A55/(A55-(Part2!$C$17/Part2!$D$17)))))</f>
        <v>6.83250119081865E-006</v>
      </c>
      <c r="H55" s="54" t="n">
        <f aca="false">IF(I55&lt;=Part2!$G$9,A55,9999)</f>
        <v>53</v>
      </c>
      <c r="I55" s="55" t="n">
        <f aca="false">IF(A55&lt;=(Part2!$C$18/Part2!$D$18),9999,J55/(A55*Part2!$D$18-Part2!$C$18)*60)</f>
        <v>2.7235091870156E-018</v>
      </c>
      <c r="J55" s="56" t="n">
        <f aca="false">IF(A55&lt;=(Part2!$C$18/Part2!$D$18),1,((Part2!$C$18/Part2!$D$18)^A55/FACT(A55)*A55/(A55-(Part2!$C$18/Part2!$D$18)))/(SUMPRODUCT(($L$3:$L$102&lt;A55)*((Part2!$C$18/Part2!$D$18)^$L$3:$L$102/FACT($L$3:$L$102)))+((Part2!$C$18/Part2!$D$18)^A55/FACT(A55)*A55/(A55-(Part2!$C$18/Part2!$D$18)))))</f>
        <v>1.08632338591572E-016</v>
      </c>
      <c r="L55" s="0" t="n">
        <v>52</v>
      </c>
    </row>
    <row r="56" customFormat="false" ht="15" hidden="false" customHeight="false" outlineLevel="0" collapsed="false">
      <c r="A56" s="0" t="n">
        <v>54</v>
      </c>
      <c r="B56" s="54" t="n">
        <f aca="false">IF(C56&lt;=Part2!$G$5,A56,9999)</f>
        <v>54</v>
      </c>
      <c r="C56" s="55" t="n">
        <f aca="false">IF(A56&lt;=(Part2!$C$16/Part2!$D$16),9999,D56/(A56*Part2!$D$16-Part2!$C$16)*60)</f>
        <v>0.0403401483681541</v>
      </c>
      <c r="D56" s="56" t="n">
        <f aca="false">IF(A56&lt;=(Part2!$C$16/Part2!$D$16),1,((Part2!$C$16/Part2!$D$16)^A56/FACT(A56)*A56/(A56-(Part2!$C$16/Part2!$D$16)))/(SUMPRODUCT(($L$3:$L$102&lt;A56)*((Part2!$C$16/Part2!$D$16)^$L$3:$L$102/FACT($L$3:$L$102)))+((Part2!$C$16/Part2!$D$16)^A56/FACT(A56)*A56/(A56-(Part2!$C$16/Part2!$D$16)))))</f>
        <v>0.228985204591055</v>
      </c>
      <c r="E56" s="54" t="n">
        <f aca="false">IF(F56&lt;=Part2!$G$7,A56,9999)</f>
        <v>54</v>
      </c>
      <c r="F56" s="55" t="n">
        <f aca="false">IF(A56&lt;=(Part2!$C$17/Part2!$D$17),9999,G56/(A56*Part2!$D$17-Part2!$C$17)*60)</f>
        <v>3.73661848156857E-007</v>
      </c>
      <c r="G56" s="56" t="n">
        <f aca="false">IF(A56&lt;=(Part2!$C$17/Part2!$D$17),1,((Part2!$C$17/Part2!$D$17)^A56/FACT(A56)*A56/(A56-(Part2!$C$17/Part2!$D$17)))/(SUMPRODUCT(($L$3:$L$102&lt;A56)*((Part2!$C$17/Part2!$D$17)^$L$3:$L$102/FACT($L$3:$L$102)))+((Part2!$C$17/Part2!$D$17)^A56/FACT(A56)*A56/(A56-(Part2!$C$17/Part2!$D$17)))))</f>
        <v>3.35725595484077E-006</v>
      </c>
      <c r="H56" s="54" t="n">
        <f aca="false">IF(I56&lt;=Part2!$G$9,A56,9999)</f>
        <v>54</v>
      </c>
      <c r="I56" s="55" t="n">
        <f aca="false">IF(A56&lt;=(Part2!$C$18/Part2!$D$18),9999,J56/(A56*Part2!$D$18-Part2!$C$18)*60)</f>
        <v>6.41284213035684E-019</v>
      </c>
      <c r="J56" s="56" t="n">
        <f aca="false">IF(A56&lt;=(Part2!$C$18/Part2!$D$18),1,((Part2!$C$18/Part2!$D$18)^A56/FACT(A56)*A56/(A56-(Part2!$C$18/Part2!$D$18)))/(SUMPRODUCT(($L$3:$L$102&lt;A56)*((Part2!$C$18/Part2!$D$18)^$L$3:$L$102/FACT($L$3:$L$102)))+((Part2!$C$18/Part2!$D$18)^A56/FACT(A56)*A56/(A56-(Part2!$C$18/Part2!$D$18)))))</f>
        <v>2.62201234899687E-017</v>
      </c>
      <c r="L56" s="0" t="n">
        <v>53</v>
      </c>
    </row>
    <row r="57" customFormat="false" ht="15" hidden="false" customHeight="false" outlineLevel="0" collapsed="false">
      <c r="A57" s="0" t="n">
        <v>55</v>
      </c>
      <c r="B57" s="54" t="n">
        <f aca="false">IF(C57&lt;=Part2!$G$5,A57,9999)</f>
        <v>55</v>
      </c>
      <c r="C57" s="55" t="n">
        <f aca="false">IF(A57&lt;=(Part2!$C$16/Part2!$D$16),9999,D57/(A57*Part2!$D$16-Part2!$C$16)*60)</f>
        <v>0.0275956135148043</v>
      </c>
      <c r="D57" s="56" t="n">
        <f aca="false">IF(A57&lt;=(Part2!$C$16/Part2!$D$16),1,((Part2!$C$16/Part2!$D$16)^A57/FACT(A57)*A57/(A57-(Part2!$C$16/Part2!$D$16)))/(SUMPRODUCT(($L$3:$L$102&lt;A57)*((Part2!$C$16/Part2!$D$16)^$L$3:$L$102/FACT($L$3:$L$102)))+((Part2!$C$16/Part2!$D$16)^A57/FACT(A57)*A57/(A57-(Part2!$C$16/Part2!$D$16)))))</f>
        <v>0.178719127542738</v>
      </c>
      <c r="E57" s="54" t="n">
        <f aca="false">IF(F57&lt;=Part2!$G$7,A57,9999)</f>
        <v>55</v>
      </c>
      <c r="F57" s="55" t="n">
        <f aca="false">IF(A57&lt;=(Part2!$C$17/Part2!$D$17),9999,G57/(A57*Part2!$D$17-Part2!$C$17)*60)</f>
        <v>1.73997555602377E-007</v>
      </c>
      <c r="G57" s="56" t="n">
        <f aca="false">IF(A57&lt;=(Part2!$C$17/Part2!$D$17),1,((Part2!$C$17/Part2!$D$17)^A57/FACT(A57)*A57/(A57-(Part2!$C$17/Part2!$D$17)))/(SUMPRODUCT(($L$3:$L$102&lt;A57)*((Part2!$C$17/Part2!$D$17)^$L$3:$L$102/FACT($L$3:$L$102)))+((Part2!$C$17/Part2!$D$17)^A57/FACT(A57)*A57/(A57-(Part2!$C$17/Part2!$D$17)))))</f>
        <v>1.62132263541453E-006</v>
      </c>
      <c r="H57" s="54" t="n">
        <f aca="false">IF(I57&lt;=Part2!$G$9,A57,9999)</f>
        <v>55</v>
      </c>
      <c r="I57" s="55" t="n">
        <f aca="false">IF(A57&lt;=(Part2!$C$18/Part2!$D$18),9999,J57/(A57*Part2!$D$18-Part2!$C$18)*60)</f>
        <v>1.48379563892809E-019</v>
      </c>
      <c r="J57" s="56" t="n">
        <f aca="false">IF(A57&lt;=(Part2!$C$18/Part2!$D$18),1,((Part2!$C$18/Part2!$D$18)^A57/FACT(A57)*A57/(A57-(Part2!$C$18/Part2!$D$18)))/(SUMPRODUCT(($L$3:$L$102&lt;A57)*((Part2!$C$18/Part2!$D$18)^$L$3:$L$102/FACT($L$3:$L$102)))+((Part2!$C$18/Part2!$D$18)^A57/FACT(A57)*A57/(A57-(Part2!$C$18/Part2!$D$18)))))</f>
        <v>6.2151599548217E-018</v>
      </c>
      <c r="L57" s="0" t="n">
        <v>54</v>
      </c>
    </row>
    <row r="58" customFormat="false" ht="15" hidden="false" customHeight="false" outlineLevel="0" collapsed="false">
      <c r="A58" s="0" t="n">
        <v>56</v>
      </c>
      <c r="B58" s="54" t="n">
        <f aca="false">IF(C58&lt;=Part2!$G$5,A58,9999)</f>
        <v>56</v>
      </c>
      <c r="C58" s="55" t="n">
        <f aca="false">IF(A58&lt;=(Part2!$C$16/Part2!$D$16),9999,D58/(A58*Part2!$D$16-Part2!$C$16)*60)</f>
        <v>0.0189611699853372</v>
      </c>
      <c r="D58" s="56" t="n">
        <f aca="false">IF(A58&lt;=(Part2!$C$16/Part2!$D$16),1,((Part2!$C$16/Part2!$D$16)^A58/FACT(A58)*A58/(A58-(Part2!$C$16/Part2!$D$16)))/(SUMPRODUCT(($L$3:$L$102&lt;A58)*((Part2!$C$16/Part2!$D$16)^$L$3:$L$102/FACT($L$3:$L$102)))+((Part2!$C$16/Part2!$D$16)^A58/FACT(A58)*A58/(A58-(Part2!$C$16/Part2!$D$16)))))</f>
        <v>0.137968298834508</v>
      </c>
      <c r="E58" s="54" t="n">
        <f aca="false">IF(F58&lt;=Part2!$G$7,A58,9999)</f>
        <v>56</v>
      </c>
      <c r="F58" s="55" t="n">
        <f aca="false">IF(A58&lt;=(Part2!$C$17/Part2!$D$17),9999,G58/(A58*Part2!$D$17-Part2!$C$17)*60)</f>
        <v>7.97536980406598E-008</v>
      </c>
      <c r="G58" s="56" t="n">
        <f aca="false">IF(A58&lt;=(Part2!$C$17/Part2!$D$17),1,((Part2!$C$17/Part2!$D$17)^A58/FACT(A58)*A58/(A58-(Part2!$C$17/Part2!$D$17)))/(SUMPRODUCT(($L$3:$L$102&lt;A58)*((Part2!$C$17/Part2!$D$17)^$L$3:$L$102/FACT($L$3:$L$102)))+((Part2!$C$17/Part2!$D$17)^A58/FACT(A58)*A58/(A58-(Part2!$C$17/Part2!$D$17)))))</f>
        <v>7.69735672037312E-007</v>
      </c>
      <c r="H58" s="54" t="n">
        <f aca="false">IF(I58&lt;=Part2!$G$9,A58,9999)</f>
        <v>56</v>
      </c>
      <c r="I58" s="55" t="n">
        <f aca="false">IF(A58&lt;=(Part2!$C$18/Part2!$D$18),9999,J58/(A58*Part2!$D$18-Part2!$C$18)*60)</f>
        <v>3.37461244193376E-020</v>
      </c>
      <c r="J58" s="56" t="n">
        <f aca="false">IF(A58&lt;=(Part2!$C$18/Part2!$D$18),1,((Part2!$C$18/Part2!$D$18)^A58/FACT(A58)*A58/(A58-(Part2!$C$18/Part2!$D$18)))/(SUMPRODUCT(($L$3:$L$102&lt;A58)*((Part2!$C$18/Part2!$D$18)^$L$3:$L$102/FACT($L$3:$L$102)))+((Part2!$C$18/Part2!$D$18)^A58/FACT(A58)*A58/(A58-(Part2!$C$18/Part2!$D$18)))))</f>
        <v>1.44726666335969E-018</v>
      </c>
      <c r="L58" s="0" t="n">
        <v>55</v>
      </c>
    </row>
    <row r="59" customFormat="false" ht="15" hidden="false" customHeight="false" outlineLevel="0" collapsed="false">
      <c r="A59" s="0" t="n">
        <v>57</v>
      </c>
      <c r="B59" s="54" t="n">
        <f aca="false">IF(C59&lt;=Part2!$G$5,A59,9999)</f>
        <v>57</v>
      </c>
      <c r="C59" s="55" t="n">
        <f aca="false">IF(A59&lt;=(Part2!$C$16/Part2!$D$16),9999,D59/(A59*Part2!$D$16-Part2!$C$16)*60)</f>
        <v>0.0130403428111027</v>
      </c>
      <c r="D59" s="56" t="n">
        <f aca="false">IF(A59&lt;=(Part2!$C$16/Part2!$D$16),1,((Part2!$C$16/Part2!$D$16)^A59/FACT(A59)*A59/(A59-(Part2!$C$16/Part2!$D$16)))/(SUMPRODUCT(($L$3:$L$102&lt;A59)*((Part2!$C$16/Part2!$D$16)^$L$3:$L$102/FACT($L$3:$L$102)))+((Part2!$C$16/Part2!$D$16)^A59/FACT(A59)*A59/(A59-(Part2!$C$16/Part2!$D$16)))))</f>
        <v>0.105318503065878</v>
      </c>
      <c r="E59" s="54" t="n">
        <f aca="false">IF(F59&lt;=Part2!$G$7,A59,9999)</f>
        <v>57</v>
      </c>
      <c r="F59" s="55" t="n">
        <f aca="false">IF(A59&lt;=(Part2!$C$17/Part2!$D$17),9999,G59/(A59*Part2!$D$17-Part2!$C$17)*60)</f>
        <v>3.59890066158475E-008</v>
      </c>
      <c r="G59" s="56" t="n">
        <f aca="false">IF(A59&lt;=(Part2!$C$17/Part2!$D$17),1,((Part2!$C$17/Part2!$D$17)^A59/FACT(A59)*A59/(A59-(Part2!$C$17/Part2!$D$17)))/(SUMPRODUCT(($L$3:$L$102&lt;A59)*((Part2!$C$17/Part2!$D$17)^$L$3:$L$102/FACT($L$3:$L$102)))+((Part2!$C$17/Part2!$D$17)^A59/FACT(A59)*A59/(A59-(Part2!$C$17/Part2!$D$17)))))</f>
        <v>3.59341008876292E-007</v>
      </c>
      <c r="H59" s="54" t="n">
        <f aca="false">IF(I59&lt;=Part2!$G$9,A59,9999)</f>
        <v>57</v>
      </c>
      <c r="I59" s="55" t="n">
        <f aca="false">IF(A59&lt;=(Part2!$C$18/Part2!$D$18),9999,J59/(A59*Part2!$D$18-Part2!$C$18)*60)</f>
        <v>7.54606861455108E-021</v>
      </c>
      <c r="J59" s="56" t="n">
        <f aca="false">IF(A59&lt;=(Part2!$C$18/Part2!$D$18),1,((Part2!$C$18/Part2!$D$18)^A59/FACT(A59)*A59/(A59-(Part2!$C$18/Part2!$D$18)))/(SUMPRODUCT(($L$3:$L$102&lt;A59)*((Part2!$C$18/Part2!$D$18)^$L$3:$L$102/FACT($L$3:$L$102)))+((Part2!$C$18/Part2!$D$18)^A59/FACT(A59)*A59/(A59-(Part2!$C$18/Part2!$D$18)))))</f>
        <v>3.31173558679942E-019</v>
      </c>
      <c r="L59" s="0" t="n">
        <v>56</v>
      </c>
    </row>
    <row r="60" customFormat="false" ht="15" hidden="false" customHeight="false" outlineLevel="0" collapsed="false">
      <c r="A60" s="0" t="n">
        <v>58</v>
      </c>
      <c r="B60" s="54" t="n">
        <f aca="false">IF(C60&lt;=Part2!$G$5,A60,9999)</f>
        <v>58</v>
      </c>
      <c r="C60" s="55" t="n">
        <f aca="false">IF(A60&lt;=(Part2!$C$16/Part2!$D$16),9999,D60/(A60*Part2!$D$16-Part2!$C$16)*60)</f>
        <v>0.00895356907470684</v>
      </c>
      <c r="D60" s="56" t="n">
        <f aca="false">IF(A60&lt;=(Part2!$C$16/Part2!$D$16),1,((Part2!$C$16/Part2!$D$16)^A60/FACT(A60)*A60/(A60-(Part2!$C$16/Part2!$D$16)))/(SUMPRODUCT(($L$3:$L$102&lt;A60)*((Part2!$C$16/Part2!$D$16)^$L$3:$L$102/FACT($L$3:$L$102)))+((Part2!$C$16/Part2!$D$16)^A60/FACT(A60)*A60/(A60-(Part2!$C$16/Part2!$D$16)))))</f>
        <v>0.0794751023919648</v>
      </c>
      <c r="E60" s="54" t="n">
        <f aca="false">IF(F60&lt;=Part2!$G$7,A60,9999)</f>
        <v>58</v>
      </c>
      <c r="F60" s="55" t="n">
        <f aca="false">IF(A60&lt;=(Part2!$C$17/Part2!$D$17),9999,G60/(A60*Part2!$D$17-Part2!$C$17)*60)</f>
        <v>1.59908167837369E-008</v>
      </c>
      <c r="G60" s="56" t="n">
        <f aca="false">IF(A60&lt;=(Part2!$C$17/Part2!$D$17),1,((Part2!$C$17/Part2!$D$17)^A60/FACT(A60)*A60/(A60-(Part2!$C$17/Part2!$D$17)))/(SUMPRODUCT(($L$3:$L$102&lt;A60)*((Part2!$C$17/Part2!$D$17)^$L$3:$L$102/FACT($L$3:$L$102)))+((Part2!$C$17/Part2!$D$17)^A60/FACT(A60)*A60/(A60-(Part2!$C$17/Part2!$D$17)))))</f>
        <v>1.64994480200058E-007</v>
      </c>
      <c r="H60" s="54" t="n">
        <f aca="false">IF(I60&lt;=Part2!$G$9,A60,9999)</f>
        <v>58</v>
      </c>
      <c r="I60" s="55" t="n">
        <f aca="false">IF(A60&lt;=(Part2!$C$18/Part2!$D$18),9999,J60/(A60*Part2!$D$18-Part2!$C$18)*60)</f>
        <v>1.65951755694802E-021</v>
      </c>
      <c r="J60" s="56" t="n">
        <f aca="false">IF(A60&lt;=(Part2!$C$18/Part2!$D$18),1,((Part2!$C$18/Part2!$D$18)^A60/FACT(A60)*A60/(A60-(Part2!$C$18/Part2!$D$18)))/(SUMPRODUCT(($L$3:$L$102&lt;A60)*((Part2!$C$18/Part2!$D$18)^$L$3:$L$102/FACT($L$3:$L$102)))+((Part2!$C$18/Part2!$D$18)^A60/FACT(A60)*A60/(A60-(Part2!$C$18/Part2!$D$18)))))</f>
        <v>7.449059862697E-020</v>
      </c>
      <c r="L60" s="0" t="n">
        <v>57</v>
      </c>
    </row>
    <row r="61" customFormat="false" ht="15" hidden="false" customHeight="false" outlineLevel="0" collapsed="false">
      <c r="A61" s="0" t="n">
        <v>59</v>
      </c>
      <c r="B61" s="54" t="n">
        <f aca="false">IF(C61&lt;=Part2!$G$5,A61,9999)</f>
        <v>59</v>
      </c>
      <c r="C61" s="55" t="n">
        <f aca="false">IF(A61&lt;=(Part2!$C$16/Part2!$D$16),9999,D61/(A61*Part2!$D$16-Part2!$C$16)*60)</f>
        <v>0.00612551781511115</v>
      </c>
      <c r="D61" s="56" t="n">
        <f aca="false">IF(A61&lt;=(Part2!$C$16/Part2!$D$16),1,((Part2!$C$16/Part2!$D$16)^A61/FACT(A61)*A61/(A61-(Part2!$C$16/Part2!$D$16)))/(SUMPRODUCT(($L$3:$L$102&lt;A61)*((Part2!$C$16/Part2!$D$16)^$L$3:$L$102/FACT($L$3:$L$102)))+((Part2!$C$16/Part2!$D$16)^A61/FACT(A61)*A61/(A61-(Part2!$C$16/Part2!$D$16)))))</f>
        <v>0.059272715565429</v>
      </c>
      <c r="E61" s="54" t="n">
        <f aca="false">IF(F61&lt;=Part2!$G$7,A61,9999)</f>
        <v>59</v>
      </c>
      <c r="F61" s="55" t="n">
        <f aca="false">IF(A61&lt;=(Part2!$C$17/Part2!$D$17),9999,G61/(A61*Part2!$D$17-Part2!$C$17)*60)</f>
        <v>6.9972160404448E-009</v>
      </c>
      <c r="G61" s="56" t="n">
        <f aca="false">IF(A61&lt;=(Part2!$C$17/Part2!$D$17),1,((Part2!$C$17/Part2!$D$17)^A61/FACT(A61)*A61/(A61-(Part2!$C$17/Part2!$D$17)))/(SUMPRODUCT(($L$3:$L$102&lt;A61)*((Part2!$C$17/Part2!$D$17)^$L$3:$L$102/FACT($L$3:$L$102)))+((Part2!$C$17/Part2!$D$17)^A61/FACT(A61)*A61/(A61-(Part2!$C$17/Part2!$D$17)))))</f>
        <v>7.45302198208608E-008</v>
      </c>
      <c r="H61" s="54" t="n">
        <f aca="false">IF(I61&lt;=Part2!$G$9,A61,9999)</f>
        <v>59</v>
      </c>
      <c r="I61" s="55" t="n">
        <f aca="false">IF(A61&lt;=(Part2!$C$18/Part2!$D$18),9999,J61/(A61*Part2!$D$18-Part2!$C$18)*60)</f>
        <v>3.59021964698957E-022</v>
      </c>
      <c r="J61" s="56" t="n">
        <f aca="false">IF(A61&lt;=(Part2!$C$18/Part2!$D$18),1,((Part2!$C$18/Part2!$D$18)^A61/FACT(A61)*A61/(A61-(Part2!$C$18/Part2!$D$18)))/(SUMPRODUCT(($L$3:$L$102&lt;A61)*((Part2!$C$18/Part2!$D$18)^$L$3:$L$102/FACT($L$3:$L$102)))+((Part2!$C$18/Part2!$D$18)^A61/FACT(A61)*A61/(A61-(Part2!$C$18/Part2!$D$18)))))</f>
        <v>1.64744049919446E-020</v>
      </c>
      <c r="L61" s="0" t="n">
        <v>58</v>
      </c>
    </row>
    <row r="62" customFormat="false" ht="15" hidden="false" customHeight="false" outlineLevel="0" collapsed="false">
      <c r="A62" s="0" t="n">
        <v>60</v>
      </c>
      <c r="B62" s="54" t="n">
        <f aca="false">IF(C62&lt;=Part2!$G$5,A62,9999)</f>
        <v>60</v>
      </c>
      <c r="C62" s="55" t="n">
        <f aca="false">IF(A62&lt;=(Part2!$C$16/Part2!$D$16),9999,D62/(A62*Part2!$D$16-Part2!$C$16)*60)</f>
        <v>0.0041694091688292</v>
      </c>
      <c r="D62" s="56" t="n">
        <f aca="false">IF(A62&lt;=(Part2!$C$16/Part2!$D$16),1,((Part2!$C$16/Part2!$D$16)^A62/FACT(A62)*A62/(A62-(Part2!$C$16/Part2!$D$16)))/(SUMPRODUCT(($L$3:$L$102&lt;A62)*((Part2!$C$16/Part2!$D$16)^$L$3:$L$102/FACT($L$3:$L$102)))+((Part2!$C$16/Part2!$D$16)^A62/FACT(A62)*A62/(A62-(Part2!$C$16/Part2!$D$16)))))</f>
        <v>0.0436802314399555</v>
      </c>
      <c r="E62" s="54" t="n">
        <f aca="false">IF(F62&lt;=Part2!$G$7,A62,9999)</f>
        <v>60</v>
      </c>
      <c r="F62" s="55" t="n">
        <f aca="false">IF(A62&lt;=(Part2!$C$17/Part2!$D$17),9999,G62/(A62*Part2!$D$17-Part2!$C$17)*60)</f>
        <v>3.01583085342681E-009</v>
      </c>
      <c r="G62" s="56" t="n">
        <f aca="false">IF(A62&lt;=(Part2!$C$17/Part2!$D$17),1,((Part2!$C$17/Part2!$D$17)^A62/FACT(A62)*A62/(A62-(Part2!$C$17/Part2!$D$17)))/(SUMPRODUCT(($L$3:$L$102&lt;A62)*((Part2!$C$17/Part2!$D$17)^$L$3:$L$102/FACT($L$3:$L$102)))+((Part2!$C$17/Part2!$D$17)^A62/FACT(A62)*A62/(A62-(Part2!$C$17/Part2!$D$17)))))</f>
        <v>3.31281291182373E-008</v>
      </c>
      <c r="H62" s="54" t="n">
        <f aca="false">IF(I62&lt;=Part2!$G$9,A62,9999)</f>
        <v>60</v>
      </c>
      <c r="I62" s="55" t="n">
        <f aca="false">IF(A62&lt;=(Part2!$C$18/Part2!$D$18),9999,J62/(A62*Part2!$D$18-Part2!$C$18)*60)</f>
        <v>7.64273460974125E-023</v>
      </c>
      <c r="J62" s="56" t="n">
        <f aca="false">IF(A62&lt;=(Part2!$C$18/Part2!$D$18),1,((Part2!$C$18/Part2!$D$18)^A62/FACT(A62)*A62/(A62-(Part2!$C$18/Part2!$D$18)))/(SUMPRODUCT(($L$3:$L$102&lt;A62)*((Part2!$C$18/Part2!$D$18)^$L$3:$L$102/FACT($L$3:$L$102)))+((Part2!$C$18/Part2!$D$18)^A62/FACT(A62)*A62/(A62-(Part2!$C$18/Part2!$D$18)))))</f>
        <v>3.58344133373477E-021</v>
      </c>
      <c r="L62" s="0" t="n">
        <v>59</v>
      </c>
    </row>
    <row r="63" customFormat="false" ht="15" hidden="false" customHeight="false" outlineLevel="0" collapsed="false">
      <c r="A63" s="0" t="n">
        <v>61</v>
      </c>
      <c r="B63" s="54" t="n">
        <f aca="false">IF(C63&lt;=Part2!$G$5,A63,9999)</f>
        <v>61</v>
      </c>
      <c r="C63" s="55" t="n">
        <f aca="false">IF(A63&lt;=(Part2!$C$16/Part2!$D$16),9999,D63/(A63*Part2!$D$16-Part2!$C$16)*60)</f>
        <v>0.00282016534984526</v>
      </c>
      <c r="D63" s="56" t="n">
        <f aca="false">IF(A63&lt;=(Part2!$C$16/Part2!$D$16),1,((Part2!$C$16/Part2!$D$16)^A63/FACT(A63)*A63/(A63-(Part2!$C$16/Part2!$D$16)))/(SUMPRODUCT(($L$3:$L$102&lt;A63)*((Part2!$C$16/Part2!$D$16)^$L$3:$L$102/FACT($L$3:$L$102)))+((Part2!$C$16/Part2!$D$16)^A63/FACT(A63)*A63/(A63-(Part2!$C$16/Part2!$D$16)))))</f>
        <v>0.0318011997443811</v>
      </c>
      <c r="E63" s="54" t="n">
        <f aca="false">IF(F63&lt;=Part2!$G$7,A63,9999)</f>
        <v>61</v>
      </c>
      <c r="F63" s="55" t="n">
        <f aca="false">IF(A63&lt;=(Part2!$C$17/Part2!$D$17),9999,G63/(A63*Part2!$D$17-Part2!$C$17)*60)</f>
        <v>1.28052961146252E-009</v>
      </c>
      <c r="G63" s="56" t="n">
        <f aca="false">IF(A63&lt;=(Part2!$C$17/Part2!$D$17),1,((Part2!$C$17/Part2!$D$17)^A63/FACT(A63)*A63/(A63-(Part2!$C$17/Part2!$D$17)))/(SUMPRODUCT(($L$3:$L$102&lt;A63)*((Part2!$C$17/Part2!$D$17)^$L$3:$L$102/FACT($L$3:$L$102)))+((Part2!$C$17/Part2!$D$17)^A63/FACT(A63)*A63/(A63-(Part2!$C$17/Part2!$D$17)))))</f>
        <v>1.44931328500237E-008</v>
      </c>
      <c r="H63" s="54" t="n">
        <f aca="false">IF(I63&lt;=Part2!$G$9,A63,9999)</f>
        <v>61</v>
      </c>
      <c r="I63" s="55" t="n">
        <f aca="false">IF(A63&lt;=(Part2!$C$18/Part2!$D$18),9999,J63/(A63*Part2!$D$18-Part2!$C$18)*60)</f>
        <v>1.60129922758363E-023</v>
      </c>
      <c r="J63" s="56" t="n">
        <f aca="false">IF(A63&lt;=(Part2!$C$18/Part2!$D$18),1,((Part2!$C$18/Part2!$D$18)^A63/FACT(A63)*A63/(A63-(Part2!$C$18/Part2!$D$18)))/(SUMPRODUCT(($L$3:$L$102&lt;A63)*((Part2!$C$18/Part2!$D$18)^$L$3:$L$102/FACT($L$3:$L$102)))+((Part2!$C$18/Part2!$D$18)^A63/FACT(A63)*A63/(A63-(Part2!$C$18/Part2!$D$18)))))</f>
        <v>7.66812559813745E-022</v>
      </c>
      <c r="L63" s="0" t="n">
        <v>60</v>
      </c>
    </row>
    <row r="64" customFormat="false" ht="15" hidden="false" customHeight="false" outlineLevel="0" collapsed="false">
      <c r="A64" s="0" t="n">
        <v>62</v>
      </c>
      <c r="B64" s="54" t="n">
        <f aca="false">IF(C64&lt;=Part2!$G$5,A64,9999)</f>
        <v>62</v>
      </c>
      <c r="C64" s="55" t="n">
        <f aca="false">IF(A64&lt;=(Part2!$C$16/Part2!$D$16),9999,D64/(A64*Part2!$D$16-Part2!$C$16)*60)</f>
        <v>0.00189378010009117</v>
      </c>
      <c r="D64" s="56" t="n">
        <f aca="false">IF(A64&lt;=(Part2!$C$16/Part2!$D$16),1,((Part2!$C$16/Part2!$D$16)^A64/FACT(A64)*A64/(A64-(Part2!$C$16/Part2!$D$16)))/(SUMPRODUCT(($L$3:$L$102&lt;A64)*((Part2!$C$16/Part2!$D$16)^$L$3:$L$102/FACT($L$3:$L$102)))+((Part2!$C$16/Part2!$D$16)^A64/FACT(A64)*A64/(A64-(Part2!$C$16/Part2!$D$16)))))</f>
        <v>0.022869970249537</v>
      </c>
      <c r="E64" s="54" t="n">
        <f aca="false">IF(F64&lt;=Part2!$G$7,A64,9999)</f>
        <v>62</v>
      </c>
      <c r="F64" s="55" t="n">
        <f aca="false">IF(A64&lt;=(Part2!$C$17/Part2!$D$17),9999,G64/(A64*Part2!$D$17-Part2!$C$17)*60)</f>
        <v>5.35731786683625E-010</v>
      </c>
      <c r="G64" s="56" t="n">
        <f aca="false">IF(A64&lt;=(Part2!$C$17/Part2!$D$17),1,((Part2!$C$17/Part2!$D$17)^A64/FACT(A64)*A64/(A64-(Part2!$C$17/Part2!$D$17)))/(SUMPRODUCT(($L$3:$L$102&lt;A64)*((Part2!$C$17/Part2!$D$17)^$L$3:$L$102/FACT($L$3:$L$102)))+((Part2!$C$17/Part2!$D$17)^A64/FACT(A64)*A64/(A64-(Part2!$C$17/Part2!$D$17)))))</f>
        <v>6.24203091990503E-009</v>
      </c>
      <c r="H64" s="54" t="n">
        <f aca="false">IF(I64&lt;=Part2!$G$9,A64,9999)</f>
        <v>62</v>
      </c>
      <c r="I64" s="55" t="n">
        <f aca="false">IF(A64&lt;=(Part2!$C$18/Part2!$D$18),9999,J64/(A64*Part2!$D$18-Part2!$C$18)*60)</f>
        <v>3.30290803662592E-024</v>
      </c>
      <c r="J64" s="56" t="n">
        <f aca="false">IF(A64&lt;=(Part2!$C$18/Part2!$D$18),1,((Part2!$C$18/Part2!$D$18)^A64/FACT(A64)*A64/(A64-(Part2!$C$18/Part2!$D$18)))/(SUMPRODUCT(($L$3:$L$102&lt;A64)*((Part2!$C$18/Part2!$D$18)^$L$3:$L$102/FACT($L$3:$L$102)))+((Part2!$C$18/Part2!$D$18)^A64/FACT(A64)*A64/(A64-(Part2!$C$18/Part2!$D$18)))))</f>
        <v>1.61468934895728E-022</v>
      </c>
      <c r="L64" s="0" t="n">
        <v>61</v>
      </c>
    </row>
    <row r="65" customFormat="false" ht="15" hidden="false" customHeight="false" outlineLevel="0" collapsed="false">
      <c r="A65" s="0" t="n">
        <v>63</v>
      </c>
      <c r="B65" s="54" t="n">
        <f aca="false">IF(C65&lt;=Part2!$G$5,A65,9999)</f>
        <v>63</v>
      </c>
      <c r="C65" s="55" t="n">
        <f aca="false">IF(A65&lt;=(Part2!$C$16/Part2!$D$16),9999,D65/(A65*Part2!$D$16-Part2!$C$16)*60)</f>
        <v>0.00126155389141981</v>
      </c>
      <c r="D65" s="56" t="n">
        <f aca="false">IF(A65&lt;=(Part2!$C$16/Part2!$D$16),1,((Part2!$C$16/Part2!$D$16)^A65/FACT(A65)*A65/(A65-(Part2!$C$16/Part2!$D$16)))/(SUMPRODUCT(($L$3:$L$102&lt;A65)*((Part2!$C$16/Part2!$D$16)^$L$3:$L$102/FACT($L$3:$L$102)))+((Part2!$C$16/Part2!$D$16)^A65/FACT(A65)*A65/(A65-(Part2!$C$16/Part2!$D$16)))))</f>
        <v>0.0162442220653224</v>
      </c>
      <c r="E65" s="54" t="n">
        <f aca="false">IF(F65&lt;=Part2!$G$7,A65,9999)</f>
        <v>63</v>
      </c>
      <c r="F65" s="55" t="n">
        <f aca="false">IF(A65&lt;=(Part2!$C$17/Part2!$D$17),9999,G65/(A65*Part2!$D$17-Part2!$C$17)*60)</f>
        <v>2.20879063135393E-010</v>
      </c>
      <c r="G65" s="56" t="n">
        <f aca="false">IF(A65&lt;=(Part2!$C$17/Part2!$D$17),1,((Part2!$C$17/Part2!$D$17)^A65/FACT(A65)*A65/(A65-(Part2!$C$17/Part2!$D$17)))/(SUMPRODUCT(($L$3:$L$102&lt;A65)*((Part2!$C$17/Part2!$D$17)^$L$3:$L$102/FACT($L$3:$L$102)))+((Part2!$C$17/Part2!$D$17)^A65/FACT(A65)*A65/(A65-(Part2!$C$17/Part2!$D$17)))))</f>
        <v>2.64717897141776E-009</v>
      </c>
      <c r="H65" s="54" t="n">
        <f aca="false">IF(I65&lt;=Part2!$G$9,A65,9999)</f>
        <v>63</v>
      </c>
      <c r="I65" s="55" t="n">
        <f aca="false">IF(A65&lt;=(Part2!$C$18/Part2!$D$18),9999,J65/(A65*Part2!$D$18-Part2!$C$18)*60)</f>
        <v>6.70844908577362E-025</v>
      </c>
      <c r="J65" s="56" t="n">
        <f aca="false">IF(A65&lt;=(Part2!$C$18/Part2!$D$18),1,((Part2!$C$18/Part2!$D$18)^A65/FACT(A65)*A65/(A65-(Part2!$C$18/Part2!$D$18)))/(SUMPRODUCT(($L$3:$L$102&lt;A65)*((Part2!$C$18/Part2!$D$18)^$L$3:$L$102/FACT($L$3:$L$102)))+((Part2!$C$18/Part2!$D$18)^A65/FACT(A65)*A65/(A65-(Part2!$C$18/Part2!$D$18)))))</f>
        <v>3.3466372869708E-023</v>
      </c>
      <c r="L65" s="0" t="n">
        <v>62</v>
      </c>
    </row>
    <row r="66" customFormat="false" ht="15" hidden="false" customHeight="false" outlineLevel="0" collapsed="false">
      <c r="A66" s="0" t="n">
        <v>64</v>
      </c>
      <c r="B66" s="54" t="n">
        <f aca="false">IF(C66&lt;=Part2!$G$5,A66,9999)</f>
        <v>64</v>
      </c>
      <c r="C66" s="55" t="n">
        <f aca="false">IF(A66&lt;=(Part2!$C$16/Part2!$D$16),9999,D66/(A66*Part2!$D$16-Part2!$C$16)*60)</f>
        <v>0.000833168328150461</v>
      </c>
      <c r="D66" s="56" t="n">
        <f aca="false">IF(A66&lt;=(Part2!$C$16/Part2!$D$16),1,((Part2!$C$16/Part2!$D$16)^A66/FACT(A66)*A66/(A66-(Part2!$C$16/Part2!$D$16)))/(SUMPRODUCT(($L$3:$L$102&lt;A66)*((Part2!$C$16/Part2!$D$16)^$L$3:$L$102/FACT($L$3:$L$102)))+((Part2!$C$16/Part2!$D$16)^A66/FACT(A66)*A66/(A66-(Part2!$C$16/Part2!$D$16)))))</f>
        <v>0.0113947099963838</v>
      </c>
      <c r="E66" s="54" t="n">
        <f aca="false">IF(F66&lt;=Part2!$G$7,A66,9999)</f>
        <v>64</v>
      </c>
      <c r="F66" s="55" t="n">
        <f aca="false">IF(A66&lt;=(Part2!$C$17/Part2!$D$17),9999,G66/(A66*Part2!$D$17-Part2!$C$17)*60)</f>
        <v>8.97604462173433E-011</v>
      </c>
      <c r="G66" s="56" t="n">
        <f aca="false">IF(A66&lt;=(Part2!$C$17/Part2!$D$17),1,((Part2!$C$17/Part2!$D$17)^A66/FACT(A66)*A66/(A66-(Part2!$C$17/Part2!$D$17)))/(SUMPRODUCT(($L$3:$L$102&lt;A66)*((Part2!$C$17/Part2!$D$17)^$L$3:$L$102/FACT($L$3:$L$102)))+((Part2!$C$17/Part2!$D$17)^A66/FACT(A66)*A66/(A66-(Part2!$C$17/Part2!$D$17)))))</f>
        <v>1.10567609553963E-009</v>
      </c>
      <c r="H66" s="54" t="n">
        <f aca="false">IF(I66&lt;=Part2!$G$9,A66,9999)</f>
        <v>64</v>
      </c>
      <c r="I66" s="55" t="n">
        <f aca="false">IF(A66&lt;=(Part2!$C$18/Part2!$D$18),9999,J66/(A66*Part2!$D$18-Part2!$C$18)*60)</f>
        <v>1.34198603723727E-025</v>
      </c>
      <c r="J66" s="56" t="n">
        <f aca="false">IF(A66&lt;=(Part2!$C$18/Part2!$D$18),1,((Part2!$C$18/Part2!$D$18)^A66/FACT(A66)*A66/(A66-(Part2!$C$18/Part2!$D$18)))/(SUMPRODUCT(($L$3:$L$102&lt;A66)*((Part2!$C$18/Part2!$D$18)^$L$3:$L$102/FACT($L$3:$L$102)))+((Part2!$C$18/Part2!$D$18)^A66/FACT(A66)*A66/(A66-(Part2!$C$18/Part2!$D$18)))))</f>
        <v>6.8289509278289E-024</v>
      </c>
      <c r="L66" s="0" t="n">
        <v>63</v>
      </c>
    </row>
    <row r="67" customFormat="false" ht="15" hidden="false" customHeight="false" outlineLevel="0" collapsed="false">
      <c r="A67" s="0" t="n">
        <v>65</v>
      </c>
      <c r="B67" s="54" t="n">
        <f aca="false">IF(C67&lt;=Part2!$G$5,A67,9999)</f>
        <v>65</v>
      </c>
      <c r="C67" s="55" t="n">
        <f aca="false">IF(A67&lt;=(Part2!$C$16/Part2!$D$16),9999,D67/(A67*Part2!$D$16-Part2!$C$16)*60)</f>
        <v>0.00054524353265128</v>
      </c>
      <c r="D67" s="56" t="n">
        <f aca="false">IF(A67&lt;=(Part2!$C$16/Part2!$D$16),1,((Part2!$C$16/Part2!$D$16)^A67/FACT(A67)*A67/(A67-(Part2!$C$16/Part2!$D$16)))/(SUMPRODUCT(($L$3:$L$102&lt;A67)*((Part2!$C$16/Part2!$D$16)^$L$3:$L$102/FACT($L$3:$L$102)))+((Part2!$C$16/Part2!$D$16)^A67/FACT(A67)*A67/(A67-(Part2!$C$16/Part2!$D$16)))))</f>
        <v>0.00789314166633168</v>
      </c>
      <c r="E67" s="54" t="n">
        <f aca="false">IF(F67&lt;=Part2!$G$7,A67,9999)</f>
        <v>65</v>
      </c>
      <c r="F67" s="55" t="n">
        <f aca="false">IF(A67&lt;=(Part2!$C$17/Part2!$D$17),9999,G67/(A67*Part2!$D$17-Part2!$C$17)*60)</f>
        <v>3.59593890865588E-011</v>
      </c>
      <c r="G67" s="56" t="n">
        <f aca="false">IF(A67&lt;=(Part2!$C$17/Part2!$D$17),1,((Part2!$C$17/Part2!$D$17)^A67/FACT(A67)*A67/(A67-(Part2!$C$17/Part2!$D$17)))/(SUMPRODUCT(($L$3:$L$102&lt;A67)*((Part2!$C$17/Part2!$D$17)^$L$3:$L$102/FACT($L$3:$L$102)))+((Part2!$C$17/Part2!$D$17)^A67/FACT(A67)*A67/(A67-(Part2!$C$17/Part2!$D$17)))))</f>
        <v>4.5493698966666E-010</v>
      </c>
      <c r="H67" s="54" t="n">
        <f aca="false">IF(I67&lt;=Part2!$G$9,A67,9999)</f>
        <v>65</v>
      </c>
      <c r="I67" s="55" t="n">
        <f aca="false">IF(A67&lt;=(Part2!$C$18/Part2!$D$18),9999,J67/(A67*Part2!$D$18-Part2!$C$18)*60)</f>
        <v>2.64466055015489E-026</v>
      </c>
      <c r="J67" s="56" t="n">
        <f aca="false">IF(A67&lt;=(Part2!$C$18/Part2!$D$18),1,((Part2!$C$18/Part2!$D$18)^A67/FACT(A67)*A67/(A67-(Part2!$C$18/Part2!$D$18)))/(SUMPRODUCT(($L$3:$L$102&lt;A67)*((Part2!$C$18/Part2!$D$18)^$L$3:$L$102/FACT($L$3:$L$102)))+((Part2!$C$18/Part2!$D$18)^A67/FACT(A67)*A67/(A67-(Part2!$C$18/Part2!$D$18)))))</f>
        <v>1.37223237499832E-024</v>
      </c>
      <c r="L67" s="0" t="n">
        <v>64</v>
      </c>
    </row>
    <row r="68" customFormat="false" ht="15" hidden="false" customHeight="false" outlineLevel="0" collapsed="false">
      <c r="A68" s="0" t="n">
        <v>66</v>
      </c>
      <c r="B68" s="54" t="n">
        <f aca="false">IF(C68&lt;=Part2!$G$5,A68,9999)</f>
        <v>66</v>
      </c>
      <c r="C68" s="55" t="n">
        <f aca="false">IF(A68&lt;=(Part2!$C$16/Part2!$D$16),9999,D68/(A68*Part2!$D$16-Part2!$C$16)*60)</f>
        <v>0.000353427778248927</v>
      </c>
      <c r="D68" s="56" t="n">
        <f aca="false">IF(A68&lt;=(Part2!$C$16/Part2!$D$16),1,((Part2!$C$16/Part2!$D$16)^A68/FACT(A68)*A68/(A68-(Part2!$C$16/Part2!$D$16)))/(SUMPRODUCT(($L$3:$L$102&lt;A68)*((Part2!$C$16/Part2!$D$16)^$L$3:$L$102/FACT($L$3:$L$102)))+((Part2!$C$16/Part2!$D$16)^A68/FACT(A68)*A68/(A68-(Part2!$C$16/Part2!$D$16)))))</f>
        <v>0.00539908997453077</v>
      </c>
      <c r="E68" s="54" t="n">
        <f aca="false">IF(F68&lt;=Part2!$G$7,A68,9999)</f>
        <v>66</v>
      </c>
      <c r="F68" s="55" t="n">
        <f aca="false">IF(A68&lt;=(Part2!$C$17/Part2!$D$17),9999,G68/(A68*Part2!$D$17-Part2!$C$17)*60)</f>
        <v>1.42039587094866E-011</v>
      </c>
      <c r="G68" s="56" t="n">
        <f aca="false">IF(A68&lt;=(Part2!$C$17/Part2!$D$17),1,((Part2!$C$17/Part2!$D$17)^A68/FACT(A68)*A68/(A68-(Part2!$C$17/Part2!$D$17)))/(SUMPRODUCT(($L$3:$L$102&lt;A68)*((Part2!$C$17/Part2!$D$17)^$L$3:$L$102/FACT($L$3:$L$102)))+((Part2!$C$17/Part2!$D$17)^A68/FACT(A68)*A68/(A68-(Part2!$C$17/Part2!$D$17)))))</f>
        <v>1.84434764078264E-010</v>
      </c>
      <c r="H68" s="54" t="n">
        <f aca="false">IF(I68&lt;=Part2!$G$9,A68,9999)</f>
        <v>66</v>
      </c>
      <c r="I68" s="55" t="n">
        <f aca="false">IF(A68&lt;=(Part2!$C$18/Part2!$D$18),9999,J68/(A68*Part2!$D$18-Part2!$C$18)*60)</f>
        <v>5.13548162541409E-027</v>
      </c>
      <c r="J68" s="56" t="n">
        <f aca="false">IF(A68&lt;=(Part2!$C$18/Part2!$D$18),1,((Part2!$C$18/Part2!$D$18)^A68/FACT(A68)*A68/(A68-(Part2!$C$18/Part2!$D$18)))/(SUMPRODUCT(($L$3:$L$102&lt;A68)*((Part2!$C$18/Part2!$D$18)^$L$3:$L$102/FACT($L$3:$L$102)))+((Part2!$C$18/Part2!$D$18)^A68/FACT(A68)*A68/(A68-(Part2!$C$18/Part2!$D$18)))))</f>
        <v>2.71599703175112E-025</v>
      </c>
      <c r="L68" s="0" t="n">
        <v>65</v>
      </c>
    </row>
    <row r="69" customFormat="false" ht="15" hidden="false" customHeight="false" outlineLevel="0" collapsed="false">
      <c r="A69" s="0" t="n">
        <v>67</v>
      </c>
      <c r="B69" s="54" t="n">
        <f aca="false">IF(C69&lt;=Part2!$G$5,A69,9999)</f>
        <v>67</v>
      </c>
      <c r="C69" s="55" t="n">
        <f aca="false">IF(A69&lt;=(Part2!$C$16/Part2!$D$16),9999,D69/(A69*Part2!$D$16-Part2!$C$16)*60)</f>
        <v>0.000226839652489644</v>
      </c>
      <c r="D69" s="56" t="n">
        <f aca="false">IF(A69&lt;=(Part2!$C$16/Part2!$D$16),1,((Part2!$C$16/Part2!$D$16)^A69/FACT(A69)*A69/(A69-(Part2!$C$16/Part2!$D$16)))/(SUMPRODUCT(($L$3:$L$102&lt;A69)*((Part2!$C$16/Part2!$D$16)^$L$3:$L$102/FACT($L$3:$L$102)))+((Part2!$C$16/Part2!$D$16)^A69/FACT(A69)*A69/(A69-(Part2!$C$16/Part2!$D$16)))))</f>
        <v>0.00364675591569841</v>
      </c>
      <c r="E69" s="54" t="n">
        <f aca="false">IF(F69&lt;=Part2!$G$7,A69,9999)</f>
        <v>67</v>
      </c>
      <c r="F69" s="55" t="n">
        <f aca="false">IF(A69&lt;=(Part2!$C$17/Part2!$D$17),9999,G69/(A69*Part2!$D$17-Part2!$C$17)*60)</f>
        <v>5.53284513353066E-012</v>
      </c>
      <c r="G69" s="56" t="n">
        <f aca="false">IF(A69&lt;=(Part2!$C$17/Part2!$D$17),1,((Part2!$C$17/Part2!$D$17)^A69/FACT(A69)*A69/(A69-(Part2!$C$17/Part2!$D$17)))/(SUMPRODUCT(($L$3:$L$102&lt;A69)*((Part2!$C$17/Part2!$D$17)^$L$3:$L$102/FACT($L$3:$L$102)))+((Part2!$C$17/Part2!$D$17)^A69/FACT(A69)*A69/(A69-(Part2!$C$17/Part2!$D$17)))))</f>
        <v>7.36868579785071E-011</v>
      </c>
      <c r="H69" s="54" t="n">
        <f aca="false">IF(I69&lt;=Part2!$G$9,A69,9999)</f>
        <v>67</v>
      </c>
      <c r="I69" s="55" t="n">
        <f aca="false">IF(A69&lt;=(Part2!$C$18/Part2!$D$18),9999,J69/(A69*Part2!$D$18-Part2!$C$18)*60)</f>
        <v>9.82816500757317E-028</v>
      </c>
      <c r="J69" s="56" t="n">
        <f aca="false">IF(A69&lt;=(Part2!$C$18/Part2!$D$18),1,((Part2!$C$18/Part2!$D$18)^A69/FACT(A69)*A69/(A69-(Part2!$C$18/Part2!$D$18)))/(SUMPRODUCT(($L$3:$L$102&lt;A69)*((Part2!$C$18/Part2!$D$18)^$L$3:$L$102/FACT($L$3:$L$102)))+((Part2!$C$18/Part2!$D$18)^A69/FACT(A69)*A69/(A69-(Part2!$C$18/Part2!$D$18)))))</f>
        <v>5.29609344946595E-026</v>
      </c>
      <c r="L69" s="0" t="n">
        <v>66</v>
      </c>
    </row>
    <row r="70" customFormat="false" ht="15" hidden="false" customHeight="false" outlineLevel="0" collapsed="false">
      <c r="A70" s="0" t="n">
        <v>68</v>
      </c>
      <c r="B70" s="54" t="n">
        <f aca="false">IF(C70&lt;=Part2!$G$5,A70,9999)</f>
        <v>68</v>
      </c>
      <c r="C70" s="55" t="n">
        <f aca="false">IF(A70&lt;=(Part2!$C$16/Part2!$D$16),9999,D70/(A70*Part2!$D$16-Part2!$C$16)*60)</f>
        <v>0.000144121770797452</v>
      </c>
      <c r="D70" s="56" t="n">
        <f aca="false">IF(A70&lt;=(Part2!$C$16/Part2!$D$16),1,((Part2!$C$16/Part2!$D$16)^A70/FACT(A70)*A70/(A70-(Part2!$C$16/Part2!$D$16)))/(SUMPRODUCT(($L$3:$L$102&lt;A70)*((Part2!$C$16/Part2!$D$16)^$L$3:$L$102/FACT($L$3:$L$102)))+((Part2!$C$16/Part2!$D$16)^A70/FACT(A70)*A70/(A70-(Part2!$C$16/Part2!$D$16)))))</f>
        <v>0.00243225088781529</v>
      </c>
      <c r="E70" s="54" t="n">
        <f aca="false">IF(F70&lt;=Part2!$G$7,A70,9999)</f>
        <v>68</v>
      </c>
      <c r="F70" s="55" t="n">
        <f aca="false">IF(A70&lt;=(Part2!$C$17/Part2!$D$17),9999,G70/(A70*Part2!$D$17-Part2!$C$17)*60)</f>
        <v>2.12569545210039E-012</v>
      </c>
      <c r="G70" s="56" t="n">
        <f aca="false">IF(A70&lt;=(Part2!$C$17/Part2!$D$17),1,((Part2!$C$17/Part2!$D$17)^A70/FACT(A70)*A70/(A70-(Part2!$C$17/Part2!$D$17)))/(SUMPRODUCT(($L$3:$L$102&lt;A70)*((Part2!$C$17/Part2!$D$17)^$L$3:$L$102/FACT($L$3:$L$102)))+((Part2!$C$17/Part2!$D$17)^A70/FACT(A70)*A70/(A70-(Part2!$C$17/Part2!$D$17)))))</f>
        <v>2.90187410374643E-011</v>
      </c>
      <c r="H70" s="54" t="n">
        <f aca="false">IF(I70&lt;=Part2!$G$9,A70,9999)</f>
        <v>68</v>
      </c>
      <c r="I70" s="55" t="n">
        <f aca="false">IF(A70&lt;=(Part2!$C$18/Part2!$D$18),9999,J70/(A70*Part2!$D$18-Part2!$C$18)*60)</f>
        <v>1.85409509542154E-028</v>
      </c>
      <c r="J70" s="56" t="n">
        <f aca="false">IF(A70&lt;=(Part2!$C$18/Part2!$D$18),1,((Part2!$C$18/Part2!$D$18)^A70/FACT(A70)*A70/(A70-(Part2!$C$18/Part2!$D$18)))/(SUMPRODUCT(($L$3:$L$102&lt;A70)*((Part2!$C$18/Part2!$D$18)^$L$3:$L$102/FACT($L$3:$L$102)))+((Part2!$C$18/Part2!$D$18)^A70/FACT(A70)*A70/(A70-(Part2!$C$18/Part2!$D$18)))))</f>
        <v>1.01765532092893E-026</v>
      </c>
      <c r="L70" s="0" t="n">
        <v>67</v>
      </c>
    </row>
    <row r="71" customFormat="false" ht="15" hidden="false" customHeight="false" outlineLevel="0" collapsed="false">
      <c r="A71" s="0" t="n">
        <v>69</v>
      </c>
      <c r="B71" s="54" t="n">
        <f aca="false">IF(C71&lt;=Part2!$G$5,A71,9999)</f>
        <v>69</v>
      </c>
      <c r="C71" s="55" t="n">
        <f aca="false">IF(A71&lt;=(Part2!$C$16/Part2!$D$16),9999,D71/(A71*Part2!$D$16-Part2!$C$16)*60)</f>
        <v>9.06234337909019E-005</v>
      </c>
      <c r="D71" s="56" t="n">
        <f aca="false">IF(A71&lt;=(Part2!$C$16/Part2!$D$16),1,((Part2!$C$16/Part2!$D$16)^A71/FACT(A71)*A71/(A71-(Part2!$C$16/Part2!$D$16)))/(SUMPRODUCT(($L$3:$L$102&lt;A71)*((Part2!$C$16/Part2!$D$16)^$L$3:$L$102/FACT($L$3:$L$102)))+((Part2!$C$16/Part2!$D$16)^A71/FACT(A71)*A71/(A71-(Part2!$C$16/Part2!$D$16)))))</f>
        <v>0.00160189244012415</v>
      </c>
      <c r="E71" s="54" t="n">
        <f aca="false">IF(F71&lt;=Part2!$G$7,A71,9999)</f>
        <v>69</v>
      </c>
      <c r="F71" s="55" t="n">
        <f aca="false">IF(A71&lt;=(Part2!$C$17/Part2!$D$17),9999,G71/(A71*Part2!$D$17-Part2!$C$17)*60)</f>
        <v>8.05633435557189E-013</v>
      </c>
      <c r="G71" s="56" t="n">
        <f aca="false">IF(A71&lt;=(Part2!$C$17/Part2!$D$17),1,((Part2!$C$17/Part2!$D$17)^A71/FACT(A71)*A71/(A71-(Part2!$C$17/Part2!$D$17)))/(SUMPRODUCT(($L$3:$L$102&lt;A71)*((Part2!$C$17/Part2!$D$17)^$L$3:$L$102/FACT($L$3:$L$102)))+((Part2!$C$17/Part2!$D$17)^A71/FACT(A71)*A71/(A71-(Part2!$C$17/Part2!$D$17)))))</f>
        <v>1.12665771526994E-011</v>
      </c>
      <c r="H71" s="54" t="n">
        <f aca="false">IF(I71&lt;=Part2!$G$9,A71,9999)</f>
        <v>69</v>
      </c>
      <c r="I71" s="55" t="n">
        <f aca="false">IF(A71&lt;=(Part2!$C$18/Part2!$D$18),9999,J71/(A71*Part2!$D$18-Part2!$C$18)*60)</f>
        <v>3.44862387159455E-029</v>
      </c>
      <c r="J71" s="56" t="n">
        <f aca="false">IF(A71&lt;=(Part2!$C$18/Part2!$D$18),1,((Part2!$C$18/Part2!$D$18)^A71/FACT(A71)*A71/(A71-(Part2!$C$18/Part2!$D$18)))/(SUMPRODUCT(($L$3:$L$102&lt;A71)*((Part2!$C$18/Part2!$D$18)^$L$3:$L$102/FACT($L$3:$L$102)))+((Part2!$C$18/Part2!$D$18)^A71/FACT(A71)*A71/(A71-(Part2!$C$18/Part2!$D$18)))))</f>
        <v>1.92732897449418E-027</v>
      </c>
      <c r="L71" s="0" t="n">
        <v>68</v>
      </c>
    </row>
    <row r="72" customFormat="false" ht="15" hidden="false" customHeight="false" outlineLevel="0" collapsed="false">
      <c r="A72" s="0" t="n">
        <v>70</v>
      </c>
      <c r="B72" s="54" t="n">
        <f aca="false">IF(C72&lt;=Part2!$G$5,A72,9999)</f>
        <v>70</v>
      </c>
      <c r="C72" s="55" t="n">
        <f aca="false">IF(A72&lt;=(Part2!$C$16/Part2!$D$16),9999,D72/(A72*Part2!$D$16-Part2!$C$16)*60)</f>
        <v>5.63870947046547E-005</v>
      </c>
      <c r="D72" s="56" t="n">
        <f aca="false">IF(A72&lt;=(Part2!$C$16/Part2!$D$16),1,((Part2!$C$16/Part2!$D$16)^A72/FACT(A72)*A72/(A72-(Part2!$C$16/Part2!$D$16)))/(SUMPRODUCT(($L$3:$L$102&lt;A72)*((Part2!$C$16/Part2!$D$16)^$L$3:$L$102/FACT($L$3:$L$102)))+((Part2!$C$16/Part2!$D$16)^A72/FACT(A72)*A72/(A72-(Part2!$C$16/Part2!$D$16)))))</f>
        <v>0.00104182826111729</v>
      </c>
      <c r="E72" s="54" t="n">
        <f aca="false">IF(F72&lt;=Part2!$G$7,A72,9999)</f>
        <v>70</v>
      </c>
      <c r="F72" s="55" t="n">
        <f aca="false">IF(A72&lt;=(Part2!$C$17/Part2!$D$17),9999,G72/(A72*Part2!$D$17-Part2!$C$17)*60)</f>
        <v>3.01250207904972E-013</v>
      </c>
      <c r="G72" s="56" t="n">
        <f aca="false">IF(A72&lt;=(Part2!$C$17/Part2!$D$17),1,((Part2!$C$17/Part2!$D$17)^A72/FACT(A72)*A72/(A72-(Part2!$C$17/Part2!$D$17)))/(SUMPRODUCT(($L$3:$L$102&lt;A72)*((Part2!$C$17/Part2!$D$17)^$L$3:$L$102/FACT($L$3:$L$102)))+((Part2!$C$17/Part2!$D$17)^A72/FACT(A72)*A72/(A72-(Part2!$C$17/Part2!$D$17)))))</f>
        <v>4.31332369815359E-012</v>
      </c>
      <c r="H72" s="54" t="n">
        <f aca="false">IF(I72&lt;=Part2!$G$9,A72,9999)</f>
        <v>70</v>
      </c>
      <c r="I72" s="55" t="n">
        <f aca="false">IF(A72&lt;=(Part2!$C$18/Part2!$D$18),9999,J72/(A72*Part2!$D$18-Part2!$C$18)*60)</f>
        <v>6.32554015898855E-030</v>
      </c>
      <c r="J72" s="56" t="n">
        <f aca="false">IF(A72&lt;=(Part2!$C$18/Part2!$D$18),1,((Part2!$C$18/Part2!$D$18)^A72/FACT(A72)*A72/(A72-(Part2!$C$18/Part2!$D$18)))/(SUMPRODUCT(($L$3:$L$102&lt;A72)*((Part2!$C$18/Part2!$D$18)^$L$3:$L$102/FACT($L$3:$L$102)))+((Part2!$C$18/Part2!$D$18)^A72/FACT(A72)*A72/(A72-(Part2!$C$18/Part2!$D$18)))))</f>
        <v>3.59840370470366E-028</v>
      </c>
      <c r="L72" s="0" t="n">
        <v>69</v>
      </c>
    </row>
    <row r="73" customFormat="false" ht="15" hidden="false" customHeight="false" outlineLevel="0" collapsed="false">
      <c r="A73" s="0" t="n">
        <v>71</v>
      </c>
      <c r="B73" s="54" t="n">
        <f aca="false">IF(C73&lt;=Part2!$G$5,A73,9999)</f>
        <v>71</v>
      </c>
      <c r="C73" s="55" t="n">
        <f aca="false">IF(A73&lt;=(Part2!$C$16/Part2!$D$16),9999,D73/(A73*Part2!$D$16-Part2!$C$16)*60)</f>
        <v>3.47129888694101E-005</v>
      </c>
      <c r="D73" s="56" t="n">
        <f aca="false">IF(A73&lt;=(Part2!$C$16/Part2!$D$16),1,((Part2!$C$16/Part2!$D$16)^A73/FACT(A73)*A73/(A73-(Part2!$C$16/Part2!$D$16)))/(SUMPRODUCT(($L$3:$L$102&lt;A73)*((Part2!$C$16/Part2!$D$16)^$L$3:$L$102/FACT($L$3:$L$102)))+((Part2!$C$16/Part2!$D$16)^A73/FACT(A73)*A73/(A73-(Part2!$C$16/Part2!$D$16)))))</f>
        <v>0.000669140070122741</v>
      </c>
      <c r="E73" s="54" t="n">
        <f aca="false">IF(F73&lt;=Part2!$G$7,A73,9999)</f>
        <v>71</v>
      </c>
      <c r="F73" s="55" t="n">
        <f aca="false">IF(A73&lt;=(Part2!$C$17/Part2!$D$17),9999,G73/(A73*Part2!$D$17-Part2!$C$17)*60)</f>
        <v>1.11157602197053E-013</v>
      </c>
      <c r="G73" s="56" t="n">
        <f aca="false">IF(A73&lt;=(Part2!$C$17/Part2!$D$17),1,((Part2!$C$17/Part2!$D$17)^A73/FACT(A73)*A73/(A73-(Part2!$C$17/Part2!$D$17)))/(SUMPRODUCT(($L$3:$L$102&lt;A73)*((Part2!$C$17/Part2!$D$17)^$L$3:$L$102/FACT($L$3:$L$102)))+((Part2!$C$17/Part2!$D$17)^A73/FACT(A73)*A73/(A73-(Part2!$C$17/Part2!$D$17)))))</f>
        <v>1.62861565072159E-012</v>
      </c>
      <c r="H73" s="54" t="n">
        <f aca="false">IF(I73&lt;=Part2!$G$9,A73,9999)</f>
        <v>71</v>
      </c>
      <c r="I73" s="55" t="n">
        <f aca="false">IF(A73&lt;=(Part2!$C$18/Part2!$D$18),9999,J73/(A73*Part2!$D$18-Part2!$C$18)*60)</f>
        <v>1.14437642166811E-030</v>
      </c>
      <c r="J73" s="56" t="n">
        <f aca="false">IF(A73&lt;=(Part2!$C$18/Part2!$D$18),1,((Part2!$C$18/Part2!$D$18)^A73/FACT(A73)*A73/(A73-(Part2!$C$18/Part2!$D$18)))/(SUMPRODUCT(($L$3:$L$102&lt;A73)*((Part2!$C$18/Part2!$D$18)^$L$3:$L$102/FACT($L$3:$L$102)))+((Part2!$C$18/Part2!$D$18)^A73/FACT(A73)*A73/(A73-(Part2!$C$18/Part2!$D$18)))))</f>
        <v>6.62444034834598E-029</v>
      </c>
      <c r="L73" s="0" t="n">
        <v>70</v>
      </c>
    </row>
    <row r="74" customFormat="false" ht="15" hidden="false" customHeight="false" outlineLevel="0" collapsed="false">
      <c r="A74" s="0" t="n">
        <v>72</v>
      </c>
      <c r="B74" s="54" t="n">
        <f aca="false">IF(C74&lt;=Part2!$G$5,A74,9999)</f>
        <v>72</v>
      </c>
      <c r="C74" s="55" t="n">
        <f aca="false">IF(A74&lt;=(Part2!$C$16/Part2!$D$16),9999,D74/(A74*Part2!$D$16-Part2!$C$16)*60)</f>
        <v>2.11415289312069E-005</v>
      </c>
      <c r="D74" s="56" t="n">
        <f aca="false">IF(A74&lt;=(Part2!$C$16/Part2!$D$16),1,((Part2!$C$16/Part2!$D$16)^A74/FACT(A74)*A74/(A74-(Part2!$C$16/Part2!$D$16)))/(SUMPRODUCT(($L$3:$L$102&lt;A74)*((Part2!$C$16/Part2!$D$16)^$L$3:$L$102/FACT($L$3:$L$102)))+((Part2!$C$16/Part2!$D$16)^A74/FACT(A74)*A74/(A74-(Part2!$C$16/Part2!$D$16)))))</f>
        <v>0.000424444945773325</v>
      </c>
      <c r="E74" s="54" t="n">
        <f aca="false">IF(F74&lt;=Part2!$G$7,A74,9999)</f>
        <v>72</v>
      </c>
      <c r="F74" s="55" t="n">
        <f aca="false">IF(A74&lt;=(Part2!$C$17/Part2!$D$17),9999,G74/(A74*Part2!$D$17-Part2!$C$17)*60)</f>
        <v>4.04799883127685E-014</v>
      </c>
      <c r="G74" s="56" t="n">
        <f aca="false">IF(A74&lt;=(Part2!$C$17/Part2!$D$17),1,((Part2!$C$17/Part2!$D$17)^A74/FACT(A74)*A74/(A74-(Part2!$C$17/Part2!$D$17)))/(SUMPRODUCT(($L$3:$L$102&lt;A74)*((Part2!$C$17/Part2!$D$17)^$L$3:$L$102/FACT($L$3:$L$102)))+((Part2!$C$17/Part2!$D$17)^A74/FACT(A74)*A74/(A74-(Part2!$C$17/Part2!$D$17)))))</f>
        <v>6.0658225186983E-013</v>
      </c>
      <c r="H74" s="54" t="n">
        <f aca="false">IF(I74&lt;=Part2!$G$9,A74,9999)</f>
        <v>72</v>
      </c>
      <c r="I74" s="55" t="n">
        <f aca="false">IF(A74&lt;=(Part2!$C$18/Part2!$D$18),9999,J74/(A74*Part2!$D$18-Part2!$C$18)*60)</f>
        <v>2.04239212010155E-031</v>
      </c>
      <c r="J74" s="56" t="n">
        <f aca="false">IF(A74&lt;=(Part2!$C$18/Part2!$D$18),1,((Part2!$C$18/Part2!$D$18)^A74/FACT(A74)*A74/(A74-(Part2!$C$18/Part2!$D$18)))/(SUMPRODUCT(($L$3:$L$102&lt;A74)*((Part2!$C$18/Part2!$D$18)^$L$3:$L$102/FACT($L$3:$L$102)))+((Part2!$C$18/Part2!$D$18)^A74/FACT(A74)*A74/(A74-(Part2!$C$18/Part2!$D$18)))))</f>
        <v>1.20270140537208E-029</v>
      </c>
      <c r="L74" s="0" t="n">
        <v>71</v>
      </c>
    </row>
    <row r="75" customFormat="false" ht="15" hidden="false" customHeight="false" outlineLevel="0" collapsed="false">
      <c r="A75" s="0" t="n">
        <v>73</v>
      </c>
      <c r="B75" s="54" t="n">
        <f aca="false">IF(C75&lt;=Part2!$G$5,A75,9999)</f>
        <v>73</v>
      </c>
      <c r="C75" s="55" t="n">
        <f aca="false">IF(A75&lt;=(Part2!$C$16/Part2!$D$16),9999,D75/(A75*Part2!$D$16-Part2!$C$16)*60)</f>
        <v>1.27374902731099E-005</v>
      </c>
      <c r="D75" s="56" t="n">
        <f aca="false">IF(A75&lt;=(Part2!$C$16/Part2!$D$16),1,((Part2!$C$16/Part2!$D$16)^A75/FACT(A75)*A75/(A75-(Part2!$C$16/Part2!$D$16)))/(SUMPRODUCT(($L$3:$L$102&lt;A75)*((Part2!$C$16/Part2!$D$16)^$L$3:$L$102/FACT($L$3:$L$102)))+((Part2!$C$16/Part2!$D$16)^A75/FACT(A75)*A75/(A75-(Part2!$C$16/Part2!$D$16)))))</f>
        <v>0.00026591243243794</v>
      </c>
      <c r="E75" s="54" t="n">
        <f aca="false">IF(F75&lt;=Part2!$G$7,A75,9999)</f>
        <v>73</v>
      </c>
      <c r="F75" s="55" t="n">
        <f aca="false">IF(A75&lt;=(Part2!$C$17/Part2!$D$17),9999,G75/(A75*Part2!$D$17-Part2!$C$17)*60)</f>
        <v>1.4551151160229E-014</v>
      </c>
      <c r="G75" s="56" t="n">
        <f aca="false">IF(A75&lt;=(Part2!$C$17/Part2!$D$17),1,((Part2!$C$17/Part2!$D$17)^A75/FACT(A75)*A75/(A75-(Part2!$C$17/Part2!$D$17)))/(SUMPRODUCT(($L$3:$L$102&lt;A75)*((Part2!$C$17/Part2!$D$17)^$L$3:$L$102/FACT($L$3:$L$102)))+((Part2!$C$17/Part2!$D$17)^A75/FACT(A75)*A75/(A75-(Part2!$C$17/Part2!$D$17)))))</f>
        <v>2.22895655123623E-013</v>
      </c>
      <c r="H75" s="54" t="n">
        <f aca="false">IF(I75&lt;=Part2!$G$9,A75,9999)</f>
        <v>73</v>
      </c>
      <c r="I75" s="55" t="n">
        <f aca="false">IF(A75&lt;=(Part2!$C$18/Part2!$D$18),9999,J75/(A75*Part2!$D$18-Part2!$C$18)*60)</f>
        <v>3.59654684952269E-032</v>
      </c>
      <c r="J75" s="56" t="n">
        <f aca="false">IF(A75&lt;=(Part2!$C$18/Part2!$D$18),1,((Part2!$C$18/Part2!$D$18)^A75/FACT(A75)*A75/(A75-(Part2!$C$18/Part2!$D$18)))/(SUMPRODUCT(($L$3:$L$102&lt;A75)*((Part2!$C$18/Part2!$D$18)^$L$3:$L$102/FACT($L$3:$L$102)))+((Part2!$C$18/Part2!$D$18)^A75/FACT(A75)*A75/(A75-(Part2!$C$18/Part2!$D$18)))))</f>
        <v>2.1538604152268E-030</v>
      </c>
      <c r="L75" s="0" t="n">
        <v>72</v>
      </c>
    </row>
    <row r="76" customFormat="false" ht="15" hidden="false" customHeight="false" outlineLevel="0" collapsed="false">
      <c r="A76" s="0" t="n">
        <v>74</v>
      </c>
      <c r="B76" s="54" t="n">
        <f aca="false">IF(C76&lt;=Part2!$G$5,A76,9999)</f>
        <v>74</v>
      </c>
      <c r="C76" s="55" t="n">
        <f aca="false">IF(A76&lt;=(Part2!$C$16/Part2!$D$16),9999,D76/(A76*Part2!$D$16-Part2!$C$16)*60)</f>
        <v>7.59128964141593E-006</v>
      </c>
      <c r="D76" s="56" t="n">
        <f aca="false">IF(A76&lt;=(Part2!$C$16/Part2!$D$16),1,((Part2!$C$16/Part2!$D$16)^A76/FACT(A76)*A76/(A76-(Part2!$C$16/Part2!$D$16)))/(SUMPRODUCT(($L$3:$L$102&lt;A76)*((Part2!$C$16/Part2!$D$16)^$L$3:$L$102/FACT($L$3:$L$102)))+((Part2!$C$16/Part2!$D$16)^A76/FACT(A76)*A76/(A76-(Part2!$C$16/Part2!$D$16)))))</f>
        <v>0.000164551527131603</v>
      </c>
      <c r="E76" s="54" t="n">
        <f aca="false">IF(F76&lt;=Part2!$G$7,A76,9999)</f>
        <v>74</v>
      </c>
      <c r="F76" s="55" t="n">
        <f aca="false">IF(A76&lt;=(Part2!$C$17/Part2!$D$17),9999,G76/(A76*Part2!$D$17-Part2!$C$17)*60)</f>
        <v>5.16387075822867E-015</v>
      </c>
      <c r="G76" s="56" t="n">
        <f aca="false">IF(A76&lt;=(Part2!$C$17/Part2!$D$17),1,((Part2!$C$17/Part2!$D$17)^A76/FACT(A76)*A76/(A76-(Part2!$C$17/Part2!$D$17)))/(SUMPRODUCT(($L$3:$L$102&lt;A76)*((Part2!$C$17/Part2!$D$17)^$L$3:$L$102/FACT($L$3:$L$102)))+((Part2!$C$17/Part2!$D$17)^A76/FACT(A76)*A76/(A76-(Part2!$C$17/Part2!$D$17)))))</f>
        <v>8.08218605756606E-014</v>
      </c>
      <c r="H76" s="54" t="n">
        <f aca="false">IF(I76&lt;=Part2!$G$9,A76,9999)</f>
        <v>74</v>
      </c>
      <c r="I76" s="55" t="n">
        <f aca="false">IF(A76&lt;=(Part2!$C$18/Part2!$D$18),9999,J76/(A76*Part2!$D$18-Part2!$C$18)*60)</f>
        <v>6.25005982751784E-033</v>
      </c>
      <c r="J76" s="56" t="n">
        <f aca="false">IF(A76&lt;=(Part2!$C$18/Part2!$D$18),1,((Part2!$C$18/Part2!$D$18)^A76/FACT(A76)*A76/(A76-(Part2!$C$18/Part2!$D$18)))/(SUMPRODUCT(($L$3:$L$102&lt;A76)*((Part2!$C$18/Part2!$D$18)^$L$3:$L$102/FACT($L$3:$L$102)))+((Part2!$C$18/Part2!$D$18)^A76/FACT(A76)*A76/(A76-(Part2!$C$18/Part2!$D$18)))))</f>
        <v>3.80546767712096E-031</v>
      </c>
      <c r="L76" s="0" t="n">
        <v>73</v>
      </c>
    </row>
    <row r="77" customFormat="false" ht="15" hidden="false" customHeight="false" outlineLevel="0" collapsed="false">
      <c r="A77" s="0" t="n">
        <v>75</v>
      </c>
      <c r="B77" s="54" t="n">
        <f aca="false">IF(C77&lt;=Part2!$G$5,A77,9999)</f>
        <v>75</v>
      </c>
      <c r="C77" s="55" t="n">
        <f aca="false">IF(A77&lt;=(Part2!$C$16/Part2!$D$16),9999,D77/(A77*Part2!$D$16-Part2!$C$16)*60)</f>
        <v>4.47528996470735E-006</v>
      </c>
      <c r="D77" s="56" t="n">
        <f aca="false">IF(A77&lt;=(Part2!$C$16/Part2!$D$16),1,((Part2!$C$16/Part2!$D$16)^A77/FACT(A77)*A77/(A77-(Part2!$C$16/Part2!$D$16)))/(SUMPRODUCT(($L$3:$L$102&lt;A77)*((Part2!$C$16/Part2!$D$16)^$L$3:$L$102/FACT($L$3:$L$102)))+((Part2!$C$16/Part2!$D$16)^A77/FACT(A77)*A77/(A77-(Part2!$C$16/Part2!$D$16)))))</f>
        <v>0.00010058822835115</v>
      </c>
      <c r="E77" s="54" t="n">
        <f aca="false">IF(F77&lt;=Part2!$G$7,A77,9999)</f>
        <v>75</v>
      </c>
      <c r="F77" s="55" t="n">
        <f aca="false">IF(A77&lt;=(Part2!$C$17/Part2!$D$17),9999,G77/(A77*Part2!$D$17-Part2!$C$17)*60)</f>
        <v>1.80941662937375E-015</v>
      </c>
      <c r="G77" s="56" t="n">
        <f aca="false">IF(A77&lt;=(Part2!$C$17/Part2!$D$17),1,((Part2!$C$17/Part2!$D$17)^A77/FACT(A77)*A77/(A77-(Part2!$C$17/Part2!$D$17)))/(SUMPRODUCT(($L$3:$L$102&lt;A77)*((Part2!$C$17/Part2!$D$17)^$L$3:$L$102/FACT($L$3:$L$102)))+((Part2!$C$17/Part2!$D$17)^A77/FACT(A77)*A77/(A77-(Part2!$C$17/Part2!$D$17)))))</f>
        <v>2.89230611575282E-014</v>
      </c>
      <c r="H77" s="54" t="n">
        <f aca="false">IF(I77&lt;=Part2!$G$9,A77,9999)</f>
        <v>75</v>
      </c>
      <c r="I77" s="55" t="n">
        <f aca="false">IF(A77&lt;=(Part2!$C$18/Part2!$D$18),9999,J77/(A77*Part2!$D$18-Part2!$C$18)*60)</f>
        <v>1.07203285647094E-033</v>
      </c>
      <c r="J77" s="56" t="n">
        <f aca="false">IF(A77&lt;=(Part2!$C$18/Part2!$D$18),1,((Part2!$C$18/Part2!$D$18)^A77/FACT(A77)*A77/(A77-(Part2!$C$18/Part2!$D$18)))/(SUMPRODUCT(($L$3:$L$102&lt;A77)*((Part2!$C$18/Part2!$D$18)^$L$3:$L$102/FACT($L$3:$L$102)))+((Part2!$C$18/Part2!$D$18)^A77/FACT(A77)*A77/(A77-(Part2!$C$18/Part2!$D$18)))))</f>
        <v>6.63447901851316E-032</v>
      </c>
      <c r="L77" s="0" t="n">
        <v>74</v>
      </c>
    </row>
    <row r="78" customFormat="false" ht="15" hidden="false" customHeight="false" outlineLevel="0" collapsed="false">
      <c r="A78" s="0" t="n">
        <v>76</v>
      </c>
      <c r="B78" s="54" t="n">
        <f aca="false">IF(C78&lt;=Part2!$G$5,A78,9999)</f>
        <v>76</v>
      </c>
      <c r="C78" s="55" t="n">
        <f aca="false">IF(A78&lt;=(Part2!$C$16/Part2!$D$16),9999,D78/(A78*Part2!$D$16-Part2!$C$16)*60)</f>
        <v>2.60974249190496E-006</v>
      </c>
      <c r="D78" s="56" t="n">
        <f aca="false">IF(A78&lt;=(Part2!$C$16/Part2!$D$16),1,((Part2!$C$16/Part2!$D$16)^A78/FACT(A78)*A78/(A78-(Part2!$C$16/Part2!$D$16)))/(SUMPRODUCT(($L$3:$L$102&lt;A78)*((Part2!$C$16/Part2!$D$16)^$L$3:$L$102/FACT($L$3:$L$102)))+((Part2!$C$16/Part2!$D$16)^A78/FACT(A78)*A78/(A78-(Part2!$C$16/Part2!$D$16)))))</f>
        <v>6.0745305748877E-005</v>
      </c>
      <c r="E78" s="54" t="n">
        <f aca="false">IF(F78&lt;=Part2!$G$7,A78,9999)</f>
        <v>76</v>
      </c>
      <c r="F78" s="55" t="n">
        <f aca="false">IF(A78&lt;=(Part2!$C$17/Part2!$D$17),9999,G78/(A78*Part2!$D$17-Part2!$C$17)*60)</f>
        <v>6.26109135741028E-016</v>
      </c>
      <c r="G78" s="56" t="n">
        <f aca="false">IF(A78&lt;=(Part2!$C$17/Part2!$D$17),1,((Part2!$C$17/Part2!$D$17)^A78/FACT(A78)*A78/(A78-(Part2!$C$17/Part2!$D$17)))/(SUMPRODUCT(($L$3:$L$102&lt;A78)*((Part2!$C$17/Part2!$D$17)^$L$3:$L$102/FACT($L$3:$L$102)))+((Part2!$C$17/Part2!$D$17)^A78/FACT(A78)*A78/(A78-(Part2!$C$17/Part2!$D$17)))))</f>
        <v>1.02168971396013E-014</v>
      </c>
      <c r="H78" s="54" t="n">
        <f aca="false">IF(I78&lt;=Part2!$G$9,A78,9999)</f>
        <v>76</v>
      </c>
      <c r="I78" s="55" t="n">
        <f aca="false">IF(A78&lt;=(Part2!$C$18/Part2!$D$18),9999,J78/(A78*Part2!$D$18-Part2!$C$18)*60)</f>
        <v>1.81522009218773E-034</v>
      </c>
      <c r="J78" s="56" t="n">
        <f aca="false">IF(A78&lt;=(Part2!$C$18/Part2!$D$18),1,((Part2!$C$18/Part2!$D$18)^A78/FACT(A78)*A78/(A78-(Part2!$C$18/Part2!$D$18)))/(SUMPRODUCT(($L$3:$L$102&lt;A78)*((Part2!$C$18/Part2!$D$18)^$L$3:$L$102/FACT($L$3:$L$102)))+((Part2!$C$18/Part2!$D$18)^A78/FACT(A78)*A78/(A78-(Part2!$C$18/Part2!$D$18)))))</f>
        <v>1.14153564415401E-032</v>
      </c>
      <c r="L78" s="0" t="n">
        <v>75</v>
      </c>
    </row>
    <row r="79" customFormat="false" ht="15" hidden="false" customHeight="false" outlineLevel="0" collapsed="false">
      <c r="A79" s="0" t="n">
        <v>77</v>
      </c>
      <c r="B79" s="54" t="n">
        <f aca="false">IF(C79&lt;=Part2!$G$5,A79,9999)</f>
        <v>77</v>
      </c>
      <c r="C79" s="55" t="n">
        <f aca="false">IF(A79&lt;=(Part2!$C$16/Part2!$D$16),9999,D79/(A79*Part2!$D$16-Part2!$C$16)*60)</f>
        <v>1.50538662590763E-006</v>
      </c>
      <c r="D79" s="56" t="n">
        <f aca="false">IF(A79&lt;=(Part2!$C$16/Part2!$D$16),1,((Part2!$C$16/Part2!$D$16)^A79/FACT(A79)*A79/(A79-(Part2!$C$16/Part2!$D$16)))/(SUMPRODUCT(($L$3:$L$102&lt;A79)*((Part2!$C$16/Part2!$D$16)^$L$3:$L$102/FACT($L$3:$L$102)))+((Part2!$C$16/Part2!$D$16)^A79/FACT(A79)*A79/(A79-(Part2!$C$16/Part2!$D$16)))))</f>
        <v>3.62442303445374E-005</v>
      </c>
      <c r="E79" s="54" t="n">
        <f aca="false">IF(F79&lt;=Part2!$G$7,A79,9999)</f>
        <v>77</v>
      </c>
      <c r="F79" s="55" t="n">
        <f aca="false">IF(A79&lt;=(Part2!$C$17/Part2!$D$17),9999,G79/(A79*Part2!$D$17-Part2!$C$17)*60)</f>
        <v>2.13979263794119E-016</v>
      </c>
      <c r="G79" s="56" t="n">
        <f aca="false">IF(A79&lt;=(Part2!$C$17/Part2!$D$17),1,((Part2!$C$17/Part2!$D$17)^A79/FACT(A79)*A79/(A79-(Part2!$C$17/Part2!$D$17)))/(SUMPRODUCT(($L$3:$L$102&lt;A79)*((Part2!$C$17/Part2!$D$17)^$L$3:$L$102/FACT($L$3:$L$102)))+((Part2!$C$17/Part2!$D$17)^A79/FACT(A79)*A79/(A79-(Part2!$C$17/Part2!$D$17)))))</f>
        <v>3.56305654209206E-015</v>
      </c>
      <c r="H79" s="54" t="n">
        <f aca="false">IF(I79&lt;=Part2!$G$9,A79,9999)</f>
        <v>77</v>
      </c>
      <c r="I79" s="55" t="n">
        <f aca="false">IF(A79&lt;=(Part2!$C$18/Part2!$D$18),9999,J79/(A79*Part2!$D$18-Part2!$C$18)*60)</f>
        <v>3.03471431912848E-035</v>
      </c>
      <c r="J79" s="56" t="n">
        <f aca="false">IF(A79&lt;=(Part2!$C$18/Part2!$D$18),1,((Part2!$C$18/Part2!$D$18)^A79/FACT(A79)*A79/(A79-(Part2!$C$18/Part2!$D$18)))/(SUMPRODUCT(($L$3:$L$102&lt;A79)*((Part2!$C$18/Part2!$D$18)^$L$3:$L$102/FACT($L$3:$L$102)))+((Part2!$C$18/Part2!$D$18)^A79/FACT(A79)*A79/(A79-(Part2!$C$18/Part2!$D$18)))))</f>
        <v>1.93878490234729E-033</v>
      </c>
      <c r="L79" s="0" t="n">
        <v>76</v>
      </c>
    </row>
    <row r="80" customFormat="false" ht="15" hidden="false" customHeight="false" outlineLevel="0" collapsed="false">
      <c r="A80" s="0" t="n">
        <v>78</v>
      </c>
      <c r="B80" s="54" t="n">
        <f aca="false">IF(C80&lt;=Part2!$G$5,A80,9999)</f>
        <v>78</v>
      </c>
      <c r="C80" s="55" t="n">
        <f aca="false">IF(A80&lt;=(Part2!$C$16/Part2!$D$16),9999,D80/(A80*Part2!$D$16-Part2!$C$16)*60)</f>
        <v>8.58975152017223E-007</v>
      </c>
      <c r="D80" s="56" t="n">
        <f aca="false">IF(A80&lt;=(Part2!$C$16/Part2!$D$16),1,((Part2!$C$16/Part2!$D$16)^A80/FACT(A80)*A80/(A80-(Part2!$C$16/Part2!$D$16)))/(SUMPRODUCT(($L$3:$L$102&lt;A80)*((Part2!$C$16/Part2!$D$16)^$L$3:$L$102/FACT($L$3:$L$102)))+((Part2!$C$16/Part2!$D$16)^A80/FACT(A80)*A80/(A80-(Part2!$C$16/Part2!$D$16)))))</f>
        <v>2.13681751126352E-005</v>
      </c>
      <c r="E80" s="54" t="n">
        <f aca="false">IF(F80&lt;=Part2!$G$7,A80,9999)</f>
        <v>78</v>
      </c>
      <c r="F80" s="55" t="n">
        <f aca="false">IF(A80&lt;=(Part2!$C$17/Part2!$D$17),9999,G80/(A80*Part2!$D$17-Part2!$C$17)*60)</f>
        <v>7.22377726407379E-017</v>
      </c>
      <c r="G80" s="56" t="n">
        <f aca="false">IF(A80&lt;=(Part2!$C$17/Part2!$D$17),1,((Part2!$C$17/Part2!$D$17)^A80/FACT(A80)*A80/(A80-(Part2!$C$17/Part2!$D$17)))/(SUMPRODUCT(($L$3:$L$102&lt;A80)*((Part2!$C$17/Part2!$D$17)^$L$3:$L$102/FACT($L$3:$L$102)))+((Part2!$C$17/Part2!$D$17)^A80/FACT(A80)*A80/(A80-(Part2!$C$17/Part2!$D$17)))))</f>
        <v>1.22694005737369E-015</v>
      </c>
      <c r="H80" s="54" t="n">
        <f aca="false">IF(I80&lt;=Part2!$G$9,A80,9999)</f>
        <v>78</v>
      </c>
      <c r="I80" s="55" t="n">
        <f aca="false">IF(A80&lt;=(Part2!$C$18/Part2!$D$18),9999,J80/(A80*Part2!$D$18-Part2!$C$18)*60)</f>
        <v>5.01004977101894E-036</v>
      </c>
      <c r="J80" s="56" t="n">
        <f aca="false">IF(A80&lt;=(Part2!$C$18/Part2!$D$18),1,((Part2!$C$18/Part2!$D$18)^A80/FACT(A80)*A80/(A80-(Part2!$C$18/Part2!$D$18)))/(SUMPRODUCT(($L$3:$L$102&lt;A80)*((Part2!$C$18/Part2!$D$18)^$L$3:$L$102/FACT($L$3:$L$102)))+((Part2!$C$18/Part2!$D$18)^A80/FACT(A80)*A80/(A80-(Part2!$C$18/Part2!$D$18)))))</f>
        <v>3.25086598487129E-034</v>
      </c>
      <c r="L80" s="0" t="n">
        <v>77</v>
      </c>
    </row>
    <row r="81" customFormat="false" ht="15" hidden="false" customHeight="false" outlineLevel="0" collapsed="false">
      <c r="A81" s="0" t="n">
        <v>79</v>
      </c>
      <c r="B81" s="54" t="n">
        <f aca="false">IF(C81&lt;=Part2!$G$5,A81,9999)</f>
        <v>79</v>
      </c>
      <c r="C81" s="55" t="n">
        <f aca="false">IF(A81&lt;=(Part2!$C$16/Part2!$D$16),9999,D81/(A81*Part2!$D$16-Part2!$C$16)*60)</f>
        <v>4.84850558011008E-007</v>
      </c>
      <c r="D81" s="56" t="n">
        <f aca="false">IF(A81&lt;=(Part2!$C$16/Part2!$D$16),1,((Part2!$C$16/Part2!$D$16)^A81/FACT(A81)*A81/(A81-(Part2!$C$16/Part2!$D$16)))/(SUMPRODUCT(($L$3:$L$102&lt;A81)*((Part2!$C$16/Part2!$D$16)^$L$3:$L$102/FACT($L$3:$L$102)))+((Part2!$C$16/Part2!$D$16)^A81/FACT(A81)*A81/(A81-(Part2!$C$16/Part2!$D$16)))))</f>
        <v>1.24491974736915E-005</v>
      </c>
      <c r="E81" s="54" t="n">
        <f aca="false">IF(F81&lt;=Part2!$G$7,A81,9999)</f>
        <v>79</v>
      </c>
      <c r="F81" s="55" t="n">
        <f aca="false">IF(A81&lt;=(Part2!$C$17/Part2!$D$17),9999,G81/(A81*Part2!$D$17-Part2!$C$17)*60)</f>
        <v>2.40928255250176E-017</v>
      </c>
      <c r="G81" s="56" t="n">
        <f aca="false">IF(A81&lt;=(Part2!$C$17/Part2!$D$17),1,((Part2!$C$17/Part2!$D$17)^A81/FACT(A81)*A81/(A81-(Part2!$C$17/Part2!$D$17)))/(SUMPRODUCT(($L$3:$L$102&lt;A81)*((Part2!$C$17/Part2!$D$17)^$L$3:$L$102/FACT($L$3:$L$102)))+((Part2!$C$17/Part2!$D$17)^A81/FACT(A81)*A81/(A81-(Part2!$C$17/Part2!$D$17)))))</f>
        <v>4.17241409597555E-016</v>
      </c>
      <c r="H81" s="54" t="n">
        <f aca="false">IF(I81&lt;=Part2!$G$9,A81,9999)</f>
        <v>79</v>
      </c>
      <c r="I81" s="55" t="n">
        <f aca="false">IF(A81&lt;=(Part2!$C$18/Part2!$D$18),9999,J81/(A81*Part2!$D$18-Part2!$C$18)*60)</f>
        <v>8.16899657821277E-037</v>
      </c>
      <c r="J81" s="56" t="n">
        <f aca="false">IF(A81&lt;=(Part2!$C$18/Part2!$D$18),1,((Part2!$C$18/Part2!$D$18)^A81/FACT(A81)*A81/(A81-(Part2!$C$18/Part2!$D$18)))/(SUMPRODUCT(($L$3:$L$102&lt;A81)*((Part2!$C$18/Part2!$D$18)^$L$3:$L$102/FACT($L$3:$L$102)))+((Part2!$C$18/Part2!$D$18)^A81/FACT(A81)*A81/(A81-(Part2!$C$18/Part2!$D$18)))))</f>
        <v>5.38229860649047E-035</v>
      </c>
      <c r="L81" s="0" t="n">
        <v>78</v>
      </c>
    </row>
    <row r="82" customFormat="false" ht="15" hidden="false" customHeight="false" outlineLevel="0" collapsed="false">
      <c r="A82" s="0" t="n">
        <v>80</v>
      </c>
      <c r="B82" s="54" t="n">
        <f aca="false">IF(C82&lt;=Part2!$G$5,A82,9999)</f>
        <v>80</v>
      </c>
      <c r="C82" s="55" t="n">
        <f aca="false">IF(A82&lt;=(Part2!$C$16/Part2!$D$16),9999,D82/(A82*Part2!$D$16-Part2!$C$16)*60)</f>
        <v>2.70736142283894E-007</v>
      </c>
      <c r="D82" s="56" t="n">
        <f aca="false">IF(A82&lt;=(Part2!$C$16/Part2!$D$16),1,((Part2!$C$16/Part2!$D$16)^A82/FACT(A82)*A82/(A82-(Part2!$C$16/Part2!$D$16)))/(SUMPRODUCT(($L$3:$L$102&lt;A82)*((Part2!$C$16/Part2!$D$16)^$L$3:$L$102/FACT($L$3:$L$102)))+((Part2!$C$16/Part2!$D$16)^A82/FACT(A82)*A82/(A82-(Part2!$C$16/Part2!$D$16)))))</f>
        <v>7.16810756811959E-006</v>
      </c>
      <c r="E82" s="54" t="n">
        <f aca="false">IF(F82&lt;=Part2!$G$7,A82,9999)</f>
        <v>80</v>
      </c>
      <c r="F82" s="55" t="n">
        <f aca="false">IF(A82&lt;=(Part2!$C$17/Part2!$D$17),9999,G82/(A82*Part2!$D$17-Part2!$C$17)*60)</f>
        <v>7.93963404857856E-018</v>
      </c>
      <c r="G82" s="56" t="n">
        <f aca="false">IF(A82&lt;=(Part2!$C$17/Part2!$D$17),1,((Part2!$C$17/Part2!$D$17)^A82/FACT(A82)*A82/(A82-(Part2!$C$17/Part2!$D$17)))/(SUMPRODUCT(($L$3:$L$102&lt;A82)*((Part2!$C$17/Part2!$D$17)^$L$3:$L$102/FACT($L$3:$L$102)))+((Part2!$C$17/Part2!$D$17)^A82/FACT(A82)*A82/(A82-(Part2!$C$17/Part2!$D$17)))))</f>
        <v>1.40145739149601E-016</v>
      </c>
      <c r="H82" s="54" t="n">
        <f aca="false">IF(I82&lt;=Part2!$G$9,A82,9999)</f>
        <v>80</v>
      </c>
      <c r="I82" s="55" t="n">
        <f aca="false">IF(A82&lt;=(Part2!$C$18/Part2!$D$18),9999,J82/(A82*Part2!$D$18-Part2!$C$18)*60)</f>
        <v>1.31571858171343E-037</v>
      </c>
      <c r="J82" s="56" t="n">
        <f aca="false">IF(A82&lt;=(Part2!$C$18/Part2!$D$18),1,((Part2!$C$18/Part2!$D$18)^A82/FACT(A82)*A82/(A82-(Part2!$C$18/Part2!$D$18)))/(SUMPRODUCT(($L$3:$L$102&lt;A82)*((Part2!$C$18/Part2!$D$18)^$L$3:$L$102/FACT($L$3:$L$102)))+((Part2!$C$18/Part2!$D$18)^A82/FACT(A82)*A82/(A82-(Part2!$C$18/Part2!$D$18)))))</f>
        <v>8.8004337203208E-036</v>
      </c>
      <c r="L82" s="0" t="n">
        <v>79</v>
      </c>
    </row>
    <row r="83" customFormat="false" ht="15" hidden="false" customHeight="false" outlineLevel="0" collapsed="false">
      <c r="A83" s="0" t="n">
        <v>81</v>
      </c>
      <c r="B83" s="54" t="n">
        <f aca="false">IF(C83&lt;=Part2!$G$5,A83,9999)</f>
        <v>81</v>
      </c>
      <c r="C83" s="55" t="n">
        <f aca="false">IF(A83&lt;=(Part2!$C$16/Part2!$D$16),9999,D83/(A83*Part2!$D$16-Part2!$C$16)*60)</f>
        <v>1.49559844280739E-007</v>
      </c>
      <c r="D83" s="56" t="n">
        <f aca="false">IF(A83&lt;=(Part2!$C$16/Part2!$D$16),1,((Part2!$C$16/Part2!$D$16)^A83/FACT(A83)*A83/(A83-(Part2!$C$16/Part2!$D$16)))/(SUMPRODUCT(($L$3:$L$102&lt;A83)*((Part2!$C$16/Part2!$D$16)^$L$3:$L$102/FACT($L$3:$L$102)))+((Part2!$C$16/Part2!$D$16)^A83/FACT(A83)*A83/(A83-(Part2!$C$16/Part2!$D$16)))))</f>
        <v>4.07944815414537E-006</v>
      </c>
      <c r="E83" s="54" t="n">
        <f aca="false">IF(F83&lt;=Part2!$G$7,A83,9999)</f>
        <v>81</v>
      </c>
      <c r="F83" s="55" t="n">
        <f aca="false">IF(A83&lt;=(Part2!$C$17/Part2!$D$17),9999,G83/(A83*Part2!$D$17-Part2!$C$17)*60)</f>
        <v>2.58559289783461E-018</v>
      </c>
      <c r="G83" s="56" t="n">
        <f aca="false">IF(A83&lt;=(Part2!$C$17/Part2!$D$17),1,((Part2!$C$17/Part2!$D$17)^A83/FACT(A83)*A83/(A83-(Part2!$C$17/Part2!$D$17)))/(SUMPRODUCT(($L$3:$L$102&lt;A83)*((Part2!$C$17/Part2!$D$17)^$L$3:$L$102/FACT($L$3:$L$102)))+((Part2!$C$17/Part2!$D$17)^A83/FACT(A83)*A83/(A83-(Part2!$C$17/Part2!$D$17)))))</f>
        <v>4.65012257093755E-017</v>
      </c>
      <c r="H83" s="54" t="n">
        <f aca="false">IF(I83&lt;=Part2!$G$9,A83,9999)</f>
        <v>81</v>
      </c>
      <c r="I83" s="55" t="n">
        <f aca="false">IF(A83&lt;=(Part2!$C$18/Part2!$D$18),9999,J83/(A83*Part2!$D$18-Part2!$C$18)*60)</f>
        <v>2.09357525224599E-038</v>
      </c>
      <c r="J83" s="56" t="n">
        <f aca="false">IF(A83&lt;=(Part2!$C$18/Part2!$D$18),1,((Part2!$C$18/Part2!$D$18)^A83/FACT(A83)*A83/(A83-(Part2!$C$18/Part2!$D$18)))/(SUMPRODUCT(($L$3:$L$102&lt;A83)*((Part2!$C$18/Part2!$D$18)^$L$3:$L$102/FACT($L$3:$L$102)))+((Part2!$C$18/Part2!$D$18)^A83/FACT(A83)*A83/(A83-(Part2!$C$18/Part2!$D$18)))))</f>
        <v>1.42126333791698E-036</v>
      </c>
      <c r="L83" s="0" t="n">
        <v>80</v>
      </c>
    </row>
    <row r="84" customFormat="false" ht="15" hidden="false" customHeight="false" outlineLevel="0" collapsed="false">
      <c r="A84" s="0" t="n">
        <v>82</v>
      </c>
      <c r="B84" s="54" t="n">
        <f aca="false">IF(C84&lt;=Part2!$G$5,A84,9999)</f>
        <v>82</v>
      </c>
      <c r="C84" s="55" t="n">
        <f aca="false">IF(A84&lt;=(Part2!$C$16/Part2!$D$16),9999,D84/(A84*Part2!$D$16-Part2!$C$16)*60)</f>
        <v>8.17402969475486E-008</v>
      </c>
      <c r="D84" s="56" t="n">
        <f aca="false">IF(A84&lt;=(Part2!$C$16/Part2!$D$16),1,((Part2!$C$16/Part2!$D$16)^A84/FACT(A84)*A84/(A84-(Part2!$C$16/Part2!$D$16)))/(SUMPRODUCT(($L$3:$L$102&lt;A84)*((Part2!$C$16/Part2!$D$16)^$L$3:$L$102/FACT($L$3:$L$102)))+((Part2!$C$16/Part2!$D$16)^A84/FACT(A84)*A84/(A84-(Part2!$C$16/Part2!$D$16)))))</f>
        <v>2.29497000360628E-006</v>
      </c>
      <c r="E84" s="54" t="n">
        <f aca="false">IF(F84&lt;=Part2!$G$7,A84,9999)</f>
        <v>82</v>
      </c>
      <c r="F84" s="55" t="n">
        <f aca="false">IF(A84&lt;=(Part2!$C$17/Part2!$D$17),9999,G84/(A84*Part2!$D$17-Part2!$C$17)*60)</f>
        <v>8.32191358565764E-019</v>
      </c>
      <c r="G84" s="56" t="n">
        <f aca="false">IF(A84&lt;=(Part2!$C$17/Part2!$D$17),1,((Part2!$C$17/Part2!$D$17)^A84/FACT(A84)*A84/(A84-(Part2!$C$17/Part2!$D$17)))/(SUMPRODUCT(($L$3:$L$102&lt;A84)*((Part2!$C$17/Part2!$D$17)^$L$3:$L$102/FACT($L$3:$L$102)))+((Part2!$C$17/Part2!$D$17)^A84/FACT(A84)*A84/(A84-(Part2!$C$17/Part2!$D$17)))))</f>
        <v>1.52441454542915E-017</v>
      </c>
      <c r="H84" s="54" t="n">
        <f aca="false">IF(I84&lt;=Part2!$G$9,A84,9999)</f>
        <v>82</v>
      </c>
      <c r="I84" s="55" t="n">
        <f aca="false">IF(A84&lt;=(Part2!$C$18/Part2!$D$18),9999,J84/(A84*Part2!$D$18-Part2!$C$18)*60)</f>
        <v>3.29160415831695E-039</v>
      </c>
      <c r="J84" s="56" t="n">
        <f aca="false">IF(A84&lt;=(Part2!$C$18/Part2!$D$18),1,((Part2!$C$18/Part2!$D$18)^A84/FACT(A84)*A84/(A84-(Part2!$C$18/Part2!$D$18)))/(SUMPRODUCT(($L$3:$L$102&lt;A84)*((Part2!$C$18/Part2!$D$18)^$L$3:$L$102/FACT($L$3:$L$102)))+((Part2!$C$18/Part2!$D$18)^A84/FACT(A84)*A84/(A84-(Part2!$C$18/Part2!$D$18)))))</f>
        <v>2.26748406493564E-037</v>
      </c>
      <c r="L84" s="0" t="n">
        <v>81</v>
      </c>
    </row>
    <row r="85" customFormat="false" ht="15" hidden="false" customHeight="false" outlineLevel="0" collapsed="false">
      <c r="A85" s="0" t="n">
        <v>83</v>
      </c>
      <c r="B85" s="54" t="n">
        <f aca="false">IF(C85&lt;=Part2!$G$5,A85,9999)</f>
        <v>83</v>
      </c>
      <c r="C85" s="55" t="n">
        <f aca="false">IF(A85&lt;=(Part2!$C$16/Part2!$D$16),9999,D85/(A85*Part2!$D$16-Part2!$C$16)*60)</f>
        <v>4.42011997944881E-008</v>
      </c>
      <c r="D85" s="56" t="n">
        <f aca="false">IF(A85&lt;=(Part2!$C$16/Part2!$D$16),1,((Part2!$C$16/Part2!$D$16)^A85/FACT(A85)*A85/(A85-(Part2!$C$16/Part2!$D$16)))/(SUMPRODUCT(($L$3:$L$102&lt;A85)*((Part2!$C$16/Part2!$D$16)^$L$3:$L$102/FACT($L$3:$L$102)))+((Part2!$C$16/Part2!$D$16)^A85/FACT(A85)*A85/(A85-(Part2!$C$16/Part2!$D$16)))))</f>
        <v>1.27636975769757E-006</v>
      </c>
      <c r="E85" s="54" t="n">
        <f aca="false">IF(F85&lt;=Part2!$G$7,A85,9999)</f>
        <v>83</v>
      </c>
      <c r="F85" s="55" t="n">
        <f aca="false">IF(A85&lt;=(Part2!$C$17/Part2!$D$17),9999,G85/(A85*Part2!$D$17-Part2!$C$17)*60)</f>
        <v>2.64755558529316E-019</v>
      </c>
      <c r="G85" s="56" t="n">
        <f aca="false">IF(A85&lt;=(Part2!$C$17/Part2!$D$17),1,((Part2!$C$17/Part2!$D$17)^A85/FACT(A85)*A85/(A85-(Part2!$C$17/Part2!$D$17)))/(SUMPRODUCT(($L$3:$L$102&lt;A85)*((Part2!$C$17/Part2!$D$17)^$L$3:$L$102/FACT($L$3:$L$102)))+((Part2!$C$17/Part2!$D$17)^A85/FACT(A85)*A85/(A85-(Part2!$C$17/Part2!$D$17)))))</f>
        <v>4.93806458222408E-018</v>
      </c>
      <c r="H85" s="54" t="n">
        <f aca="false">IF(I85&lt;=Part2!$G$9,A85,9999)</f>
        <v>83</v>
      </c>
      <c r="I85" s="55" t="n">
        <f aca="false">IF(A85&lt;=(Part2!$C$18/Part2!$D$18),9999,J85/(A85*Part2!$D$18-Part2!$C$18)*60)</f>
        <v>5.11423702874987E-040</v>
      </c>
      <c r="J85" s="56" t="n">
        <f aca="false">IF(A85&lt;=(Part2!$C$18/Part2!$D$18),1,((Part2!$C$18/Part2!$D$18)^A85/FACT(A85)*A85/(A85-(Part2!$C$18/Part2!$D$18)))/(SUMPRODUCT(($L$3:$L$102&lt;A85)*((Part2!$C$18/Part2!$D$18)^$L$3:$L$102/FACT($L$3:$L$102)))+((Part2!$C$18/Part2!$D$18)^A85/FACT(A85)*A85/(A85-(Part2!$C$18/Part2!$D$18)))))</f>
        <v>3.57418171804539E-038</v>
      </c>
      <c r="L85" s="0" t="n">
        <v>82</v>
      </c>
    </row>
    <row r="86" customFormat="false" ht="15" hidden="false" customHeight="false" outlineLevel="0" collapsed="false">
      <c r="A86" s="0" t="n">
        <v>84</v>
      </c>
      <c r="B86" s="54" t="n">
        <f aca="false">IF(C86&lt;=Part2!$G$5,A86,9999)</f>
        <v>84</v>
      </c>
      <c r="C86" s="55" t="n">
        <f aca="false">IF(A86&lt;=(Part2!$C$16/Part2!$D$16),9999,D86/(A86*Part2!$D$16-Part2!$C$16)*60)</f>
        <v>2.3650187115547E-008</v>
      </c>
      <c r="D86" s="56" t="n">
        <f aca="false">IF(A86&lt;=(Part2!$C$16/Part2!$D$16),1,((Part2!$C$16/Part2!$D$16)^A86/FACT(A86)*A86/(A86-(Part2!$C$16/Part2!$D$16)))/(SUMPRODUCT(($L$3:$L$102&lt;A86)*((Part2!$C$16/Part2!$D$16)^$L$3:$L$102/FACT($L$3:$L$102)))+((Part2!$C$16/Part2!$D$16)^A86/FACT(A86)*A86/(A86-(Part2!$C$16/Part2!$D$16)))))</f>
        <v>7.01851466908336E-007</v>
      </c>
      <c r="E86" s="54" t="n">
        <f aca="false">IF(F86&lt;=Part2!$G$7,A86,9999)</f>
        <v>84</v>
      </c>
      <c r="F86" s="55" t="n">
        <f aca="false">IF(A86&lt;=(Part2!$C$17/Part2!$D$17),9999,G86/(A86*Part2!$D$17-Part2!$C$17)*60)</f>
        <v>8.32683967982599E-020</v>
      </c>
      <c r="G86" s="56" t="n">
        <f aca="false">IF(A86&lt;=(Part2!$C$17/Part2!$D$17),1,((Part2!$C$17/Part2!$D$17)^A86/FACT(A86)*A86/(A86-(Part2!$C$17/Part2!$D$17)))/(SUMPRODUCT(($L$3:$L$102&lt;A86)*((Part2!$C$17/Part2!$D$17)^$L$3:$L$102/FACT($L$3:$L$102)))+((Part2!$C$17/Part2!$D$17)^A86/FACT(A86)*A86/(A86-(Part2!$C$17/Part2!$D$17)))))</f>
        <v>1.58082917568829E-018</v>
      </c>
      <c r="H86" s="54" t="n">
        <f aca="false">IF(I86&lt;=Part2!$G$9,A86,9999)</f>
        <v>84</v>
      </c>
      <c r="I86" s="55" t="n">
        <f aca="false">IF(A86&lt;=(Part2!$C$18/Part2!$D$18),9999,J86/(A86*Part2!$D$18-Part2!$C$18)*60)</f>
        <v>7.85358082884642E-041</v>
      </c>
      <c r="J86" s="56" t="n">
        <f aca="false">IF(A86&lt;=(Part2!$C$18/Part2!$D$18),1,((Part2!$C$18/Part2!$D$18)^A86/FACT(A86)*A86/(A86-(Part2!$C$18/Part2!$D$18)))/(SUMPRODUCT(($L$3:$L$102&lt;A86)*((Part2!$C$18/Part2!$D$18)^$L$3:$L$102/FACT($L$3:$L$102)))+((Part2!$C$18/Part2!$D$18)^A86/FACT(A86)*A86/(A86-(Part2!$C$18/Part2!$D$18)))))</f>
        <v>5.56715998856353E-039</v>
      </c>
      <c r="L86" s="0" t="n">
        <v>83</v>
      </c>
    </row>
    <row r="87" customFormat="false" ht="15" hidden="false" customHeight="false" outlineLevel="0" collapsed="false">
      <c r="A87" s="0" t="n">
        <v>85</v>
      </c>
      <c r="B87" s="54" t="n">
        <f aca="false">IF(C87&lt;=Part2!$G$5,A87,9999)</f>
        <v>85</v>
      </c>
      <c r="C87" s="55" t="n">
        <f aca="false">IF(A87&lt;=(Part2!$C$16/Part2!$D$16),9999,D87/(A87*Part2!$D$16-Part2!$C$16)*60)</f>
        <v>1.2521759114972E-008</v>
      </c>
      <c r="D87" s="56" t="n">
        <f aca="false">IF(A87&lt;=(Part2!$C$16/Part2!$D$16),1,((Part2!$C$16/Part2!$D$16)^A87/FACT(A87)*A87/(A87-(Part2!$C$16/Part2!$D$16)))/(SUMPRODUCT(($L$3:$L$102&lt;A87)*((Part2!$C$16/Part2!$D$16)^$L$3:$L$102/FACT($L$3:$L$102)))+((Part2!$C$16/Part2!$D$16)^A87/FACT(A87)*A87/(A87-(Part2!$C$16/Part2!$D$16)))))</f>
        <v>3.81617638621169E-007</v>
      </c>
      <c r="E87" s="54" t="n">
        <f aca="false">IF(F87&lt;=Part2!$G$7,A87,9999)</f>
        <v>85</v>
      </c>
      <c r="F87" s="55" t="n">
        <f aca="false">IF(A87&lt;=(Part2!$C$17/Part2!$D$17),9999,G87/(A87*Part2!$D$17-Part2!$C$17)*60)</f>
        <v>2.58929741135088E-020</v>
      </c>
      <c r="G87" s="56" t="n">
        <f aca="false">IF(A87&lt;=(Part2!$C$17/Part2!$D$17),1,((Part2!$C$17/Part2!$D$17)^A87/FACT(A87)*A87/(A87-(Part2!$C$17/Part2!$D$17)))/(SUMPRODUCT(($L$3:$L$102&lt;A87)*((Part2!$C$17/Part2!$D$17)^$L$3:$L$102/FACT($L$3:$L$102)))+((Part2!$C$17/Part2!$D$17)^A87/FACT(A87)*A87/(A87-(Part2!$C$17/Part2!$D$17)))))</f>
        <v>5.00202469841518E-019</v>
      </c>
      <c r="H87" s="54" t="n">
        <f aca="false">IF(I87&lt;=Part2!$G$9,A87,9999)</f>
        <v>85</v>
      </c>
      <c r="I87" s="55" t="n">
        <f aca="false">IF(A87&lt;=(Part2!$C$18/Part2!$D$18),9999,J87/(A87*Part2!$D$18-Part2!$C$18)*60)</f>
        <v>1.19213726014326E-041</v>
      </c>
      <c r="J87" s="56" t="n">
        <f aca="false">IF(A87&lt;=(Part2!$C$18/Part2!$D$18),1,((Part2!$C$18/Part2!$D$18)^A87/FACT(A87)*A87/(A87-(Part2!$C$18/Part2!$D$18)))/(SUMPRODUCT(($L$3:$L$102&lt;A87)*((Part2!$C$18/Part2!$D$18)^$L$3:$L$102/FACT($L$3:$L$102)))+((Part2!$C$18/Part2!$D$18)^A87/FACT(A87)*A87/(A87-(Part2!$C$18/Part2!$D$18)))))</f>
        <v>8.56990520061928E-040</v>
      </c>
      <c r="L87" s="0" t="n">
        <v>84</v>
      </c>
    </row>
    <row r="88" customFormat="false" ht="15" hidden="false" customHeight="false" outlineLevel="0" collapsed="false">
      <c r="A88" s="0" t="n">
        <v>86</v>
      </c>
      <c r="B88" s="54" t="n">
        <f aca="false">IF(C88&lt;=Part2!$G$5,A88,9999)</f>
        <v>86</v>
      </c>
      <c r="C88" s="55" t="n">
        <f aca="false">IF(A88&lt;=(Part2!$C$16/Part2!$D$16),9999,D88/(A88*Part2!$D$16-Part2!$C$16)*60)</f>
        <v>6.56077552177826E-009</v>
      </c>
      <c r="D88" s="56" t="n">
        <f aca="false">IF(A88&lt;=(Part2!$C$16/Part2!$D$16),1,((Part2!$C$16/Part2!$D$16)^A88/FACT(A88)*A88/(A88-(Part2!$C$16/Part2!$D$16)))/(SUMPRODUCT(($L$3:$L$102&lt;A88)*((Part2!$C$16/Part2!$D$16)^$L$3:$L$102/FACT($L$3:$L$102)))+((Part2!$C$16/Part2!$D$16)^A88/FACT(A88)*A88/(A88-(Part2!$C$16/Part2!$D$16)))))</f>
        <v>2.05197177098325E-007</v>
      </c>
      <c r="E88" s="54" t="n">
        <f aca="false">IF(F88&lt;=Part2!$G$7,A88,9999)</f>
        <v>86</v>
      </c>
      <c r="F88" s="55" t="n">
        <f aca="false">IF(A88&lt;=(Part2!$C$17/Part2!$D$17),9999,G88/(A88*Part2!$D$17-Part2!$C$17)*60)</f>
        <v>7.96164262156799E-021</v>
      </c>
      <c r="G88" s="56" t="n">
        <f aca="false">IF(A88&lt;=(Part2!$C$17/Part2!$D$17),1,((Part2!$C$17/Part2!$D$17)^A88/FACT(A88)*A88/(A88-(Part2!$C$17/Part2!$D$17)))/(SUMPRODUCT(($L$3:$L$102&lt;A88)*((Part2!$C$17/Part2!$D$17)^$L$3:$L$102/FACT($L$3:$L$102)))+((Part2!$C$17/Part2!$D$17)^A88/FACT(A88)*A88/(A88-(Part2!$C$17/Part2!$D$17)))))</f>
        <v>1.56457506747258E-019</v>
      </c>
      <c r="H88" s="54" t="n">
        <f aca="false">IF(I88&lt;=Part2!$G$9,A88,9999)</f>
        <v>86</v>
      </c>
      <c r="I88" s="55" t="n">
        <f aca="false">IF(A88&lt;=(Part2!$C$18/Part2!$D$18),9999,J88/(A88*Part2!$D$18-Part2!$C$18)*60)</f>
        <v>1.78901203575011E-042</v>
      </c>
      <c r="J88" s="56" t="n">
        <f aca="false">IF(A88&lt;=(Part2!$C$18/Part2!$D$18),1,((Part2!$C$18/Part2!$D$18)^A88/FACT(A88)*A88/(A88-(Part2!$C$18/Part2!$D$18)))/(SUMPRODUCT(($L$3:$L$102&lt;A88)*((Part2!$C$18/Part2!$D$18)^$L$3:$L$102/FACT($L$3:$L$102)))+((Part2!$C$18/Part2!$D$18)^A88/FACT(A88)*A88/(A88-(Part2!$C$18/Part2!$D$18)))))</f>
        <v>1.30395541348515E-040</v>
      </c>
      <c r="L88" s="0" t="n">
        <v>85</v>
      </c>
    </row>
    <row r="89" customFormat="false" ht="15" hidden="false" customHeight="false" outlineLevel="0" collapsed="false">
      <c r="A89" s="0" t="n">
        <v>87</v>
      </c>
      <c r="B89" s="54" t="n">
        <f aca="false">IF(C89&lt;=Part2!$G$5,A89,9999)</f>
        <v>87</v>
      </c>
      <c r="C89" s="55" t="n">
        <f aca="false">IF(A89&lt;=(Part2!$C$16/Part2!$D$16),9999,D89/(A89*Part2!$D$16-Part2!$C$16)*60)</f>
        <v>3.40199719258178E-009</v>
      </c>
      <c r="D89" s="56" t="n">
        <f aca="false">IF(A89&lt;=(Part2!$C$16/Part2!$D$16),1,((Part2!$C$16/Part2!$D$16)^A89/FACT(A89)*A89/(A89-(Part2!$C$16/Part2!$D$16)))/(SUMPRODUCT(($L$3:$L$102&lt;A89)*((Part2!$C$16/Part2!$D$16)^$L$3:$L$102/FACT($L$3:$L$102)))+((Part2!$C$16/Part2!$D$16)^A89/FACT(A89)*A89/(A89-(Part2!$C$16/Part2!$D$16)))))</f>
        <v>1.09123686668243E-007</v>
      </c>
      <c r="E89" s="54" t="n">
        <f aca="false">IF(F89&lt;=Part2!$G$7,A89,9999)</f>
        <v>87</v>
      </c>
      <c r="F89" s="55" t="n">
        <f aca="false">IF(A89&lt;=(Part2!$C$17/Part2!$D$17),9999,G89/(A89*Part2!$D$17-Part2!$C$17)*60)</f>
        <v>2.42099471987036E-021</v>
      </c>
      <c r="G89" s="56" t="n">
        <f aca="false">IF(A89&lt;=(Part2!$C$17/Part2!$D$17),1,((Part2!$C$17/Part2!$D$17)^A89/FACT(A89)*A89/(A89-(Part2!$C$17/Part2!$D$17)))/(SUMPRODUCT(($L$3:$L$102&lt;A89)*((Part2!$C$17/Part2!$D$17)^$L$3:$L$102/FACT($L$3:$L$102)))+((Part2!$C$17/Part2!$D$17)^A89/FACT(A89)*A89/(A89-(Part2!$C$17/Part2!$D$17)))))</f>
        <v>4.83829590967122E-020</v>
      </c>
      <c r="H89" s="54" t="n">
        <f aca="false">IF(I89&lt;=Part2!$G$9,A89,9999)</f>
        <v>87</v>
      </c>
      <c r="I89" s="55" t="n">
        <f aca="false">IF(A89&lt;=(Part2!$C$18/Part2!$D$18),9999,J89/(A89*Part2!$D$18-Part2!$C$18)*60)</f>
        <v>2.65450930233057E-043</v>
      </c>
      <c r="J89" s="56" t="n">
        <f aca="false">IF(A89&lt;=(Part2!$C$18/Part2!$D$18),1,((Part2!$C$18/Part2!$D$18)^A89/FACT(A89)*A89/(A89-(Part2!$C$18/Part2!$D$18)))/(SUMPRODUCT(($L$3:$L$102&lt;A89)*((Part2!$C$18/Part2!$D$18)^$L$3:$L$102/FACT($L$3:$L$102)))+((Part2!$C$18/Part2!$D$18)^A89/FACT(A89)*A89/(A89-(Part2!$C$18/Part2!$D$18)))))</f>
        <v>1.96133463370369E-041</v>
      </c>
      <c r="L89" s="0" t="n">
        <v>86</v>
      </c>
    </row>
    <row r="90" customFormat="false" ht="15" hidden="false" customHeight="false" outlineLevel="0" collapsed="false">
      <c r="A90" s="0" t="n">
        <v>88</v>
      </c>
      <c r="B90" s="54" t="n">
        <f aca="false">IF(C90&lt;=Part2!$G$5,A90,9999)</f>
        <v>88</v>
      </c>
      <c r="C90" s="55" t="n">
        <f aca="false">IF(A90&lt;=(Part2!$C$16/Part2!$D$16),9999,D90/(A90*Part2!$D$16-Part2!$C$16)*60)</f>
        <v>1.74595230570141E-009</v>
      </c>
      <c r="D90" s="56" t="n">
        <f aca="false">IF(A90&lt;=(Part2!$C$16/Part2!$D$16),1,((Part2!$C$16/Part2!$D$16)^A90/FACT(A90)*A90/(A90-(Part2!$C$16/Part2!$D$16)))/(SUMPRODUCT(($L$3:$L$102&lt;A90)*((Part2!$C$16/Part2!$D$16)^$L$3:$L$102/FACT($L$3:$L$102)))+((Part2!$C$16/Part2!$D$16)^A90/FACT(A90)*A90/(A90-(Part2!$C$16/Part2!$D$16)))))</f>
        <v>5.74005565450697E-008</v>
      </c>
      <c r="E90" s="54" t="n">
        <f aca="false">IF(F90&lt;=Part2!$G$7,A90,9999)</f>
        <v>88</v>
      </c>
      <c r="F90" s="55" t="n">
        <f aca="false">IF(A90&lt;=(Part2!$C$17/Part2!$D$17),9999,G90/(A90*Part2!$D$17-Part2!$C$17)*60)</f>
        <v>7.28124896052151E-022</v>
      </c>
      <c r="G90" s="56" t="n">
        <f aca="false">IF(A90&lt;=(Part2!$C$17/Part2!$D$17),1,((Part2!$C$17/Part2!$D$17)^A90/FACT(A90)*A90/(A90-(Part2!$C$17/Part2!$D$17)))/(SUMPRODUCT(($L$3:$L$102&lt;A90)*((Part2!$C$17/Part2!$D$17)^$L$3:$L$102/FACT($L$3:$L$102)))+((Part2!$C$17/Part2!$D$17)^A90/FACT(A90)*A90/(A90-(Part2!$C$17/Part2!$D$17)))))</f>
        <v>1.47940977642817E-020</v>
      </c>
      <c r="H90" s="54" t="n">
        <f aca="false">IF(I90&lt;=Part2!$G$9,A90,9999)</f>
        <v>88</v>
      </c>
      <c r="I90" s="55" t="n">
        <f aca="false">IF(A90&lt;=(Part2!$C$18/Part2!$D$18),9999,J90/(A90*Part2!$D$18-Part2!$C$18)*60)</f>
        <v>3.89487529797578E-044</v>
      </c>
      <c r="J90" s="56" t="n">
        <f aca="false">IF(A90&lt;=(Part2!$C$18/Part2!$D$18),1,((Part2!$C$18/Part2!$D$18)^A90/FACT(A90)*A90/(A90-(Part2!$C$18/Part2!$D$18)))/(SUMPRODUCT(($L$3:$L$102&lt;A90)*((Part2!$C$18/Part2!$D$18)^$L$3:$L$102/FACT($L$3:$L$102)))+((Part2!$C$18/Part2!$D$18)^A90/FACT(A90)*A90/(A90-(Part2!$C$18/Part2!$D$18)))))</f>
        <v>2.91675136951982E-042</v>
      </c>
      <c r="L90" s="0" t="n">
        <v>87</v>
      </c>
    </row>
    <row r="91" customFormat="false" ht="15" hidden="false" customHeight="false" outlineLevel="0" collapsed="false">
      <c r="A91" s="0" t="n">
        <v>89</v>
      </c>
      <c r="B91" s="54" t="n">
        <f aca="false">IF(C91&lt;=Part2!$G$5,A91,9999)</f>
        <v>89</v>
      </c>
      <c r="C91" s="55" t="n">
        <f aca="false">IF(A91&lt;=(Part2!$C$16/Part2!$D$16),9999,D91/(A91*Part2!$D$16-Part2!$C$16)*60)</f>
        <v>8.86914684632633E-010</v>
      </c>
      <c r="D91" s="56" t="n">
        <f aca="false">IF(A91&lt;=(Part2!$C$16/Part2!$D$16),1,((Part2!$C$16/Part2!$D$16)^A91/FACT(A91)*A91/(A91-(Part2!$C$16/Part2!$D$16)))/(SUMPRODUCT(($L$3:$L$102&lt;A91)*((Part2!$C$16/Part2!$D$16)^$L$3:$L$102/FACT($L$3:$L$102)))+((Part2!$C$16/Part2!$D$16)^A91/FACT(A91)*A91/(A91-(Part2!$C$16/Part2!$D$16)))))</f>
        <v>2.9868058208975E-008</v>
      </c>
      <c r="E91" s="54" t="n">
        <f aca="false">IF(F91&lt;=Part2!$G$7,A91,9999)</f>
        <v>89</v>
      </c>
      <c r="F91" s="55" t="n">
        <f aca="false">IF(A91&lt;=(Part2!$C$17/Part2!$D$17),9999,G91/(A91*Part2!$D$17-Part2!$C$17)*60)</f>
        <v>2.166148920826E-022</v>
      </c>
      <c r="G91" s="56" t="n">
        <f aca="false">IF(A91&lt;=(Part2!$C$17/Part2!$D$17),1,((Part2!$C$17/Part2!$D$17)^A91/FACT(A91)*A91/(A91-(Part2!$C$17/Part2!$D$17)))/(SUMPRODUCT(($L$3:$L$102&lt;A91)*((Part2!$C$17/Part2!$D$17)^$L$3:$L$102/FACT($L$3:$L$102)))+((Part2!$C$17/Part2!$D$17)^A91/FACT(A91)*A91/(A91-(Part2!$C$17/Part2!$D$17)))))</f>
        <v>4.47340303875972E-021</v>
      </c>
      <c r="H91" s="54" t="n">
        <f aca="false">IF(I91&lt;=Part2!$G$9,A91,9999)</f>
        <v>89</v>
      </c>
      <c r="I91" s="55" t="n">
        <f aca="false">IF(A91&lt;=(Part2!$C$18/Part2!$D$18),9999,J91/(A91*Part2!$D$18-Part2!$C$18)*60)</f>
        <v>5.65189832070003E-045</v>
      </c>
      <c r="J91" s="56" t="n">
        <f aca="false">IF(A91&lt;=(Part2!$C$18/Part2!$D$18),1,((Part2!$C$18/Part2!$D$18)^A91/FACT(A91)*A91/(A91-(Part2!$C$18/Part2!$D$18)))/(SUMPRODUCT(($L$3:$L$102&lt;A91)*((Part2!$C$18/Part2!$D$18)^$L$3:$L$102/FACT($L$3:$L$102)))+((Part2!$C$18/Part2!$D$18)^A91/FACT(A91)*A91/(A91-(Part2!$C$18/Part2!$D$18)))))</f>
        <v>4.28905042673131E-043</v>
      </c>
      <c r="L91" s="0" t="n">
        <v>88</v>
      </c>
    </row>
    <row r="92" customFormat="false" ht="15" hidden="false" customHeight="false" outlineLevel="0" collapsed="false">
      <c r="A92" s="0" t="n">
        <v>90</v>
      </c>
      <c r="B92" s="54" t="n">
        <f aca="false">IF(C92&lt;=Part2!$G$5,A92,9999)</f>
        <v>90</v>
      </c>
      <c r="C92" s="55" t="n">
        <f aca="false">IF(A92&lt;=(Part2!$C$16/Part2!$D$16),9999,D92/(A92*Part2!$D$16-Part2!$C$16)*60)</f>
        <v>4.45978873160336E-010</v>
      </c>
      <c r="D92" s="56" t="n">
        <f aca="false">IF(A92&lt;=(Part2!$C$16/Part2!$D$16),1,((Part2!$C$16/Part2!$D$16)^A92/FACT(A92)*A92/(A92-(Part2!$C$16/Part2!$D$16)))/(SUMPRODUCT(($L$3:$L$102&lt;A92)*((Part2!$C$16/Part2!$D$16)^$L$3:$L$102/FACT($L$3:$L$102)))+((Part2!$C$16/Part2!$D$16)^A92/FACT(A92)*A92/(A92-(Part2!$C$16/Part2!$D$16)))))</f>
        <v>1.53757281834701E-008</v>
      </c>
      <c r="E92" s="54" t="n">
        <f aca="false">IF(F92&lt;=Part2!$G$7,A92,9999)</f>
        <v>90</v>
      </c>
      <c r="F92" s="55" t="n">
        <f aca="false">IF(A92&lt;=(Part2!$C$17/Part2!$D$17),9999,G92/(A92*Part2!$D$17-Part2!$C$17)*60)</f>
        <v>6.37514004164566E-023</v>
      </c>
      <c r="G92" s="56" t="n">
        <f aca="false">IF(A92&lt;=(Part2!$C$17/Part2!$D$17),1,((Part2!$C$17/Part2!$D$17)^A92/FACT(A92)*A92/(A92-(Part2!$C$17/Part2!$D$17)))/(SUMPRODUCT(($L$3:$L$102&lt;A92)*((Part2!$C$17/Part2!$D$17)^$L$3:$L$102/FACT($L$3:$L$102)))+((Part2!$C$17/Part2!$D$17)^A92/FACT(A92)*A92/(A92-(Part2!$C$17/Part2!$D$17)))))</f>
        <v>1.33780680144299E-021</v>
      </c>
      <c r="H92" s="54" t="n">
        <f aca="false">IF(I92&lt;=Part2!$G$9,A92,9999)</f>
        <v>90</v>
      </c>
      <c r="I92" s="55" t="n">
        <f aca="false">IF(A92&lt;=(Part2!$C$18/Part2!$D$18),9999,J92/(A92*Part2!$D$18-Part2!$C$18)*60)</f>
        <v>8.11219962113678E-046</v>
      </c>
      <c r="J92" s="56" t="n">
        <f aca="false">IF(A92&lt;=(Part2!$C$18/Part2!$D$18),1,((Part2!$C$18/Part2!$D$18)^A92/FACT(A92)*A92/(A92-(Part2!$C$18/Part2!$D$18)))/(SUMPRODUCT(($L$3:$L$102&lt;A92)*((Part2!$C$18/Part2!$D$18)^$L$3:$L$102/FACT($L$3:$L$102)))+((Part2!$C$18/Part2!$D$18)^A92/FACT(A92)*A92/(A92-(Part2!$C$18/Part2!$D$18)))))</f>
        <v>6.23721881050382E-044</v>
      </c>
      <c r="L92" s="0" t="n">
        <v>89</v>
      </c>
    </row>
    <row r="93" customFormat="false" ht="15" hidden="false" customHeight="false" outlineLevel="0" collapsed="false">
      <c r="A93" s="0" t="n">
        <v>91</v>
      </c>
      <c r="B93" s="54" t="n">
        <f aca="false">IF(C93&lt;=Part2!$G$5,A93,9999)</f>
        <v>91</v>
      </c>
      <c r="C93" s="55" t="n">
        <f aca="false">IF(A93&lt;=(Part2!$C$16/Part2!$D$16),9999,D93/(A93*Part2!$D$16-Part2!$C$16)*60)</f>
        <v>2.22004630098714E-010</v>
      </c>
      <c r="D93" s="56" t="n">
        <f aca="false">IF(A93&lt;=(Part2!$C$16/Part2!$D$16),1,((Part2!$C$16/Part2!$D$16)^A93/FACT(A93)*A93/(A93-(Part2!$C$16/Part2!$D$16)))/(SUMPRODUCT(($L$3:$L$102&lt;A93)*((Part2!$C$16/Part2!$D$16)^$L$3:$L$102/FACT($L$3:$L$102)))+((Part2!$C$16/Part2!$D$16)^A93/FACT(A93)*A93/(A93-(Part2!$C$16/Part2!$D$16)))))</f>
        <v>7.83151525302907E-009</v>
      </c>
      <c r="E93" s="54" t="n">
        <f aca="false">IF(F93&lt;=Part2!$G$7,A93,9999)</f>
        <v>91</v>
      </c>
      <c r="F93" s="55" t="n">
        <f aca="false">IF(A93&lt;=(Part2!$C$17/Part2!$D$17),9999,G93/(A93*Part2!$D$17-Part2!$C$17)*60)</f>
        <v>1.85634133145906E-023</v>
      </c>
      <c r="G93" s="56" t="n">
        <f aca="false">IF(A93&lt;=(Part2!$C$17/Part2!$D$17),1,((Part2!$C$17/Part2!$D$17)^A93/FACT(A93)*A93/(A93-(Part2!$C$17/Part2!$D$17)))/(SUMPRODUCT(($L$3:$L$102&lt;A93)*((Part2!$C$17/Part2!$D$17)^$L$3:$L$102/FACT($L$3:$L$102)))+((Part2!$C$17/Part2!$D$17)^A93/FACT(A93)*A93/(A93-(Part2!$C$17/Part2!$D$17)))))</f>
        <v>3.95736275970219E-022</v>
      </c>
      <c r="H93" s="54" t="n">
        <f aca="false">IF(I93&lt;=Part2!$G$9,A93,9999)</f>
        <v>91</v>
      </c>
      <c r="I93" s="55" t="n">
        <f aca="false">IF(A93&lt;=(Part2!$C$18/Part2!$D$18),9999,J93/(A93*Part2!$D$18-Part2!$C$18)*60)</f>
        <v>1.15180075067326E-046</v>
      </c>
      <c r="J93" s="56" t="n">
        <f aca="false">IF(A93&lt;=(Part2!$C$18/Part2!$D$18),1,((Part2!$C$18/Part2!$D$18)^A93/FACT(A93)*A93/(A93-(Part2!$C$18/Part2!$D$18)))/(SUMPRODUCT(($L$3:$L$102&lt;A93)*((Part2!$C$18/Part2!$D$18)^$L$3:$L$102/FACT($L$3:$L$102)))+((Part2!$C$18/Part2!$D$18)^A93/FACT(A93)*A93/(A93-(Part2!$C$18/Part2!$D$18)))))</f>
        <v>8.97101898876128E-045</v>
      </c>
      <c r="L93" s="0" t="n">
        <v>90</v>
      </c>
    </row>
    <row r="94" customFormat="false" ht="15" hidden="false" customHeight="false" outlineLevel="0" collapsed="false">
      <c r="A94" s="0" t="n">
        <v>92</v>
      </c>
      <c r="B94" s="54" t="n">
        <f aca="false">IF(C94&lt;=Part2!$G$5,A94,9999)</f>
        <v>92</v>
      </c>
      <c r="C94" s="55" t="n">
        <f aca="false">IF(A94&lt;=(Part2!$C$16/Part2!$D$16),9999,D94/(A94*Part2!$D$16-Part2!$C$16)*60)</f>
        <v>1.09410177218333E-010</v>
      </c>
      <c r="D94" s="56" t="n">
        <f aca="false">IF(A94&lt;=(Part2!$C$16/Part2!$D$16),1,((Part2!$C$16/Part2!$D$16)^A94/FACT(A94)*A94/(A94-(Part2!$C$16/Part2!$D$16)))/(SUMPRODUCT(($L$3:$L$102&lt;A94)*((Part2!$C$16/Part2!$D$16)^$L$3:$L$102/FACT($L$3:$L$102)))+((Part2!$C$16/Part2!$D$16)^A94/FACT(A94)*A94/(A94-(Part2!$C$16/Part2!$D$16)))))</f>
        <v>3.94712094099236E-009</v>
      </c>
      <c r="E94" s="54" t="n">
        <f aca="false">IF(F94&lt;=Part2!$G$7,A94,9999)</f>
        <v>92</v>
      </c>
      <c r="F94" s="55" t="n">
        <f aca="false">IF(A94&lt;=(Part2!$C$17/Part2!$D$17),9999,G94/(A94*Part2!$D$17-Part2!$C$17)*60)</f>
        <v>5.34859167443203E-024</v>
      </c>
      <c r="G94" s="56" t="n">
        <f aca="false">IF(A94&lt;=(Part2!$C$17/Part2!$D$17),1,((Part2!$C$17/Part2!$D$17)^A94/FACT(A94)*A94/(A94-(Part2!$C$17/Part2!$D$17)))/(SUMPRODUCT(($L$3:$L$102&lt;A94)*((Part2!$C$17/Part2!$D$17)^$L$3:$L$102/FACT($L$3:$L$102)))+((Part2!$C$17/Part2!$D$17)^A94/FACT(A94)*A94/(A94-(Part2!$C$17/Part2!$D$17)))))</f>
        <v>1.15804553494294E-022</v>
      </c>
      <c r="H94" s="54" t="n">
        <f aca="false">IF(I94&lt;=Part2!$G$9,A94,9999)</f>
        <v>92</v>
      </c>
      <c r="I94" s="55" t="n">
        <f aca="false">IF(A94&lt;=(Part2!$C$18/Part2!$D$18),9999,J94/(A94*Part2!$D$18-Part2!$C$18)*60)</f>
        <v>1.61793248684371E-047</v>
      </c>
      <c r="J94" s="56" t="n">
        <f aca="false">IF(A94&lt;=(Part2!$C$18/Part2!$D$18),1,((Part2!$C$18/Part2!$D$18)^A94/FACT(A94)*A94/(A94-(Part2!$C$18/Part2!$D$18)))/(SUMPRODUCT(($L$3:$L$102&lt;A94)*((Part2!$C$18/Part2!$D$18)^$L$3:$L$102/FACT($L$3:$L$102)))+((Part2!$C$18/Part2!$D$18)^A94/FACT(A94)*A94/(A94-(Part2!$C$18/Part2!$D$18)))))</f>
        <v>1.27633678296391E-045</v>
      </c>
      <c r="L94" s="0" t="n">
        <v>91</v>
      </c>
    </row>
    <row r="95" customFormat="false" ht="15" hidden="false" customHeight="false" outlineLevel="0" collapsed="false">
      <c r="A95" s="0" t="n">
        <v>93</v>
      </c>
      <c r="B95" s="54" t="n">
        <f aca="false">IF(C95&lt;=Part2!$G$5,A95,9999)</f>
        <v>93</v>
      </c>
      <c r="C95" s="55" t="n">
        <f aca="false">IF(A95&lt;=(Part2!$C$16/Part2!$D$16),9999,D95/(A95*Part2!$D$16-Part2!$C$16)*60)</f>
        <v>5.33868380766432E-011</v>
      </c>
      <c r="D95" s="56" t="n">
        <f aca="false">IF(A95&lt;=(Part2!$C$16/Part2!$D$16),1,((Part2!$C$16/Part2!$D$16)^A95/FACT(A95)*A95/(A95-(Part2!$C$16/Part2!$D$16)))/(SUMPRODUCT(($L$3:$L$102&lt;A95)*((Part2!$C$16/Part2!$D$16)^$L$3:$L$102/FACT($L$3:$L$102)))+((Part2!$C$16/Part2!$D$16)^A95/FACT(A95)*A95/(A95-(Part2!$C$16/Part2!$D$16)))))</f>
        <v>1.968712260176E-009</v>
      </c>
      <c r="E95" s="54" t="n">
        <f aca="false">IF(F95&lt;=Part2!$G$7,A95,9999)</f>
        <v>93</v>
      </c>
      <c r="F95" s="55" t="n">
        <f aca="false">IF(A95&lt;=(Part2!$C$17/Part2!$D$17),9999,G95/(A95*Part2!$D$17-Part2!$C$17)*60)</f>
        <v>1.52503747564877E-024</v>
      </c>
      <c r="G95" s="56" t="n">
        <f aca="false">IF(A95&lt;=(Part2!$C$17/Part2!$D$17),1,((Part2!$C$17/Part2!$D$17)^A95/FACT(A95)*A95/(A95-(Part2!$C$17/Part2!$D$17)))/(SUMPRODUCT(($L$3:$L$102&lt;A95)*((Part2!$C$17/Part2!$D$17)^$L$3:$L$102/FACT($L$3:$L$102)))+((Part2!$C$17/Part2!$D$17)^A95/FACT(A95)*A95/(A95-(Part2!$C$17/Part2!$D$17)))))</f>
        <v>3.3527558111285E-023</v>
      </c>
      <c r="H95" s="54" t="n">
        <f aca="false">IF(I95&lt;=Part2!$G$9,A95,9999)</f>
        <v>93</v>
      </c>
      <c r="I95" s="55" t="n">
        <f aca="false">IF(A95&lt;=(Part2!$C$18/Part2!$D$18),9999,J95/(A95*Part2!$D$18-Part2!$C$18)*60)</f>
        <v>2.24872621986671E-048</v>
      </c>
      <c r="J95" s="56" t="n">
        <f aca="false">IF(A95&lt;=(Part2!$C$18/Part2!$D$18),1,((Part2!$C$18/Part2!$D$18)^A95/FACT(A95)*A95/(A95-(Part2!$C$18/Part2!$D$18)))/(SUMPRODUCT(($L$3:$L$102&lt;A95)*((Part2!$C$18/Part2!$D$18)^$L$3:$L$102/FACT($L$3:$L$102)))+((Part2!$C$18/Part2!$D$18)^A95/FACT(A95)*A95/(A95-(Part2!$C$18/Part2!$D$18)))))</f>
        <v>1.7964376665387E-046</v>
      </c>
      <c r="L95" s="0" t="n">
        <v>92</v>
      </c>
    </row>
    <row r="96" customFormat="false" ht="15" hidden="false" customHeight="false" outlineLevel="0" collapsed="false">
      <c r="A96" s="0" t="n">
        <v>94</v>
      </c>
      <c r="B96" s="54" t="n">
        <f aca="false">IF(C96&lt;=Part2!$G$5,A96,9999)</f>
        <v>94</v>
      </c>
      <c r="C96" s="55" t="n">
        <f aca="false">IF(A96&lt;=(Part2!$C$16/Part2!$D$16),9999,D96/(A96*Part2!$D$16-Part2!$C$16)*60)</f>
        <v>2.57943412555983E-011</v>
      </c>
      <c r="D96" s="56" t="n">
        <f aca="false">IF(A96&lt;=(Part2!$C$16/Part2!$D$16),1,((Part2!$C$16/Part2!$D$16)^A96/FACT(A96)*A96/(A96-(Part2!$C$16/Part2!$D$16)))/(SUMPRODUCT(($L$3:$L$102&lt;A96)*((Part2!$C$16/Part2!$D$16)^$L$3:$L$102/FACT($L$3:$L$102)))+((Part2!$C$16/Part2!$D$16)^A96/FACT(A96)*A96/(A96-(Part2!$C$16/Part2!$D$16)))))</f>
        <v>9.71836887108773E-010</v>
      </c>
      <c r="E96" s="54" t="n">
        <f aca="false">IF(F96&lt;=Part2!$G$7,A96,9999)</f>
        <v>94</v>
      </c>
      <c r="F96" s="55" t="n">
        <f aca="false">IF(A96&lt;=(Part2!$C$17/Part2!$D$17),9999,G96/(A96*Part2!$D$17-Part2!$C$17)*60)</f>
        <v>4.30354320301847E-025</v>
      </c>
      <c r="G96" s="56" t="n">
        <f aca="false">IF(A96&lt;=(Part2!$C$17/Part2!$D$17),1,((Part2!$C$17/Part2!$D$17)^A96/FACT(A96)*A96/(A96-(Part2!$C$17/Part2!$D$17)))/(SUMPRODUCT(($L$3:$L$102&lt;A96)*((Part2!$C$17/Part2!$D$17)^$L$3:$L$102/FACT($L$3:$L$102)))+((Part2!$C$17/Part2!$D$17)^A96/FACT(A96)*A96/(A96-(Part2!$C$17/Part2!$D$17)))))</f>
        <v>9.60468089364215E-024</v>
      </c>
      <c r="H96" s="54" t="n">
        <f aca="false">IF(I96&lt;=Part2!$G$9,A96,9999)</f>
        <v>94</v>
      </c>
      <c r="I96" s="55" t="n">
        <f aca="false">IF(A96&lt;=(Part2!$C$18/Part2!$D$18),9999,J96/(A96*Part2!$D$18-Part2!$C$18)*60)</f>
        <v>3.09281371905245E-049</v>
      </c>
      <c r="J96" s="56" t="n">
        <f aca="false">IF(A96&lt;=(Part2!$C$18/Part2!$D$18),1,((Part2!$C$18/Part2!$D$18)^A96/FACT(A96)*A96/(A96-(Part2!$C$18/Part2!$D$18)))/(SUMPRODUCT(($L$3:$L$102&lt;A96)*((Part2!$C$18/Part2!$D$18)^$L$3:$L$102/FACT($L$3:$L$102)))+((Part2!$C$18/Part2!$D$18)^A96/FACT(A96)*A96/(A96-(Part2!$C$18/Part2!$D$18)))))</f>
        <v>2.50168114011624E-047</v>
      </c>
      <c r="L96" s="0" t="n">
        <v>93</v>
      </c>
    </row>
    <row r="97" customFormat="false" ht="15" hidden="false" customHeight="false" outlineLevel="0" collapsed="false">
      <c r="A97" s="0" t="n">
        <v>95</v>
      </c>
      <c r="B97" s="54" t="n">
        <f aca="false">IF(C97&lt;=Part2!$G$5,A97,9999)</f>
        <v>95</v>
      </c>
      <c r="C97" s="55" t="n">
        <f aca="false">IF(A97&lt;=(Part2!$C$16/Part2!$D$16),9999,D97/(A97*Part2!$D$16-Part2!$C$16)*60)</f>
        <v>1.23413161596785E-011</v>
      </c>
      <c r="D97" s="56" t="n">
        <f aca="false">IF(A97&lt;=(Part2!$C$16/Part2!$D$16),1,((Part2!$C$16/Part2!$D$16)^A97/FACT(A97)*A97/(A97-(Part2!$C$16/Part2!$D$16)))/(SUMPRODUCT(($L$3:$L$102&lt;A97)*((Part2!$C$16/Part2!$D$16)^$L$3:$L$102/FACT($L$3:$L$102)))+((Part2!$C$16/Part2!$D$16)^A97/FACT(A97)*A97/(A97-(Part2!$C$16/Part2!$D$16)))))</f>
        <v>4.74848923433609E-010</v>
      </c>
      <c r="E97" s="54" t="n">
        <f aca="false">IF(F97&lt;=Part2!$G$7,A97,9999)</f>
        <v>95</v>
      </c>
      <c r="F97" s="55" t="n">
        <f aca="false">IF(A97&lt;=(Part2!$C$17/Part2!$D$17),9999,G97/(A97*Part2!$D$17-Part2!$C$17)*60)</f>
        <v>1.20204490592677E-025</v>
      </c>
      <c r="G97" s="56" t="n">
        <f aca="false">IF(A97&lt;=(Part2!$C$17/Part2!$D$17),1,((Part2!$C$17/Part2!$D$17)^A97/FACT(A97)*A97/(A97-(Part2!$C$17/Part2!$D$17)))/(SUMPRODUCT(($L$3:$L$102&lt;A97)*((Part2!$C$17/Part2!$D$17)^$L$3:$L$102/FACT($L$3:$L$102)))+((Part2!$C$17/Part2!$D$17)^A97/FACT(A97)*A97/(A97-(Part2!$C$17/Part2!$D$17)))))</f>
        <v>2.72280125034108E-024</v>
      </c>
      <c r="H97" s="54" t="n">
        <f aca="false">IF(I97&lt;=Part2!$G$9,A97,9999)</f>
        <v>95</v>
      </c>
      <c r="I97" s="55" t="n">
        <f aca="false">IF(A97&lt;=(Part2!$C$18/Part2!$D$18),9999,J97/(A97*Part2!$D$18-Part2!$C$18)*60)</f>
        <v>4.20977422508652E-050</v>
      </c>
      <c r="J97" s="56" t="n">
        <f aca="false">IF(A97&lt;=(Part2!$C$18/Part2!$D$18),1,((Part2!$C$18/Part2!$D$18)^A97/FACT(A97)*A97/(A97-(Part2!$C$18/Part2!$D$18)))/(SUMPRODUCT(($L$3:$L$102&lt;A97)*((Part2!$C$18/Part2!$D$18)^$L$3:$L$102/FACT($L$3:$L$102)))+((Part2!$C$18/Part2!$D$18)^A97/FACT(A97)*A97/(A97-(Part2!$C$18/Part2!$D$18)))))</f>
        <v>3.44725360992238E-048</v>
      </c>
      <c r="L97" s="0" t="n">
        <v>94</v>
      </c>
    </row>
    <row r="98" customFormat="false" ht="15" hidden="false" customHeight="false" outlineLevel="0" collapsed="false">
      <c r="A98" s="0" t="n">
        <v>96</v>
      </c>
      <c r="B98" s="54" t="n">
        <f aca="false">IF(C98&lt;=Part2!$G$5,A98,9999)</f>
        <v>96</v>
      </c>
      <c r="C98" s="55" t="n">
        <f aca="false">IF(A98&lt;=(Part2!$C$16/Part2!$D$16),9999,D98/(A98*Part2!$D$16-Part2!$C$16)*60)</f>
        <v>5.84760921189855E-012</v>
      </c>
      <c r="D98" s="56" t="n">
        <f aca="false">IF(A98&lt;=(Part2!$C$16/Part2!$D$16),1,((Part2!$C$16/Part2!$D$16)^A98/FACT(A98)*A98/(A98-(Part2!$C$16/Part2!$D$16)))/(SUMPRODUCT(($L$3:$L$102&lt;A98)*((Part2!$C$16/Part2!$D$16)^$L$3:$L$102/FACT($L$3:$L$102)))+((Part2!$C$16/Part2!$D$16)^A98/FACT(A98)*A98/(A98-(Part2!$C$16/Part2!$D$16)))))</f>
        <v>2.29672804545844E-010</v>
      </c>
      <c r="E98" s="54" t="n">
        <f aca="false">IF(F98&lt;=Part2!$G$7,A98,9999)</f>
        <v>96</v>
      </c>
      <c r="F98" s="55" t="n">
        <f aca="false">IF(A98&lt;=(Part2!$C$17/Part2!$D$17),9999,G98/(A98*Part2!$D$17-Part2!$C$17)*60)</f>
        <v>3.32359106600532E-026</v>
      </c>
      <c r="G98" s="56" t="n">
        <f aca="false">IF(A98&lt;=(Part2!$C$17/Part2!$D$17),1,((Part2!$C$17/Part2!$D$17)^A98/FACT(A98)*A98/(A98-(Part2!$C$17/Part2!$D$17)))/(SUMPRODUCT(($L$3:$L$102&lt;A98)*((Part2!$C$17/Part2!$D$17)^$L$3:$L$102/FACT($L$3:$L$102)))+((Part2!$C$17/Part2!$D$17)^A98/FACT(A98)*A98/(A98-(Part2!$C$17/Part2!$D$17)))))</f>
        <v>7.63918889819215E-025</v>
      </c>
      <c r="H98" s="54" t="n">
        <f aca="false">IF(I98&lt;=Part2!$G$9,A98,9999)</f>
        <v>96</v>
      </c>
      <c r="I98" s="55" t="n">
        <f aca="false">IF(A98&lt;=(Part2!$C$18/Part2!$D$18),9999,J98/(A98*Part2!$D$18-Part2!$C$18)*60)</f>
        <v>5.67149611420345E-051</v>
      </c>
      <c r="J98" s="56" t="n">
        <f aca="false">IF(A98&lt;=(Part2!$C$18/Part2!$D$18),1,((Part2!$C$18/Part2!$D$18)^A98/FACT(A98)*A98/(A98-(Part2!$C$18/Part2!$D$18)))/(SUMPRODUCT(($L$3:$L$102&lt;A98)*((Part2!$C$18/Part2!$D$18)^$L$3:$L$102/FACT($L$3:$L$102)))+((Part2!$C$18/Part2!$D$18)^A98/FACT(A98)*A98/(A98-(Part2!$C$18/Part2!$D$18)))))</f>
        <v>4.7009273126837E-049</v>
      </c>
      <c r="L98" s="0" t="n">
        <v>95</v>
      </c>
    </row>
    <row r="99" customFormat="false" ht="15" hidden="false" customHeight="false" outlineLevel="0" collapsed="false">
      <c r="A99" s="0" t="n">
        <v>97</v>
      </c>
      <c r="B99" s="54" t="n">
        <f aca="false">IF(C99&lt;=Part2!$G$5,A99,9999)</f>
        <v>97</v>
      </c>
      <c r="C99" s="55" t="n">
        <f aca="false">IF(A99&lt;=(Part2!$C$16/Part2!$D$16),9999,D99/(A99*Part2!$D$16-Part2!$C$16)*60)</f>
        <v>2.74415101768249E-012</v>
      </c>
      <c r="D99" s="56" t="n">
        <f aca="false">IF(A99&lt;=(Part2!$C$16/Part2!$D$16),1,((Part2!$C$16/Part2!$D$16)^A99/FACT(A99)*A99/(A99-(Part2!$C$16/Part2!$D$16)))/(SUMPRODUCT(($L$3:$L$102&lt;A99)*((Part2!$C$16/Part2!$D$16)^$L$3:$L$102/FACT($L$3:$L$102)))+((Part2!$C$16/Part2!$D$16)^A99/FACT(A99)*A99/(A99-(Part2!$C$16/Part2!$D$16)))))</f>
        <v>1.0997558407901E-010</v>
      </c>
      <c r="E99" s="54" t="n">
        <f aca="false">IF(F99&lt;=Part2!$G$7,A99,9999)</f>
        <v>97</v>
      </c>
      <c r="F99" s="55" t="n">
        <f aca="false">IF(A99&lt;=(Part2!$C$17/Part2!$D$17),9999,G99/(A99*Part2!$D$17-Part2!$C$17)*60)</f>
        <v>9.09765671751807E-027</v>
      </c>
      <c r="G99" s="56" t="n">
        <f aca="false">IF(A99&lt;=(Part2!$C$17/Part2!$D$17),1,((Part2!$C$17/Part2!$D$17)^A99/FACT(A99)*A99/(A99-(Part2!$C$17/Part2!$D$17)))/(SUMPRODUCT(($L$3:$L$102&lt;A99)*((Part2!$C$17/Part2!$D$17)^$L$3:$L$102/FACT($L$3:$L$102)))+((Part2!$C$17/Part2!$D$17)^A99/FACT(A99)*A99/(A99-(Part2!$C$17/Part2!$D$17)))))</f>
        <v>2.12139860616792E-025</v>
      </c>
      <c r="H99" s="54" t="n">
        <f aca="false">IF(I99&lt;=Part2!$G$9,A99,9999)</f>
        <v>97</v>
      </c>
      <c r="I99" s="55" t="n">
        <f aca="false">IF(A99&lt;=(Part2!$C$18/Part2!$D$18),9999,J99/(A99*Part2!$D$18-Part2!$C$18)*60)</f>
        <v>7.5633688784613E-052</v>
      </c>
      <c r="J99" s="56" t="n">
        <f aca="false">IF(A99&lt;=(Part2!$C$18/Part2!$D$18),1,((Part2!$C$18/Part2!$D$18)^A99/FACT(A99)*A99/(A99-(Part2!$C$18/Part2!$D$18)))/(SUMPRODUCT(($L$3:$L$102&lt;A99)*((Part2!$C$18/Part2!$D$18)^$L$3:$L$102/FACT($L$3:$L$102)))+((Part2!$C$18/Part2!$D$18)^A99/FACT(A99)*A99/(A99-(Part2!$C$18/Part2!$D$18)))))</f>
        <v>6.34467568770595E-050</v>
      </c>
      <c r="L99" s="0" t="n">
        <v>96</v>
      </c>
    </row>
    <row r="100" customFormat="false" ht="15" hidden="false" customHeight="false" outlineLevel="0" collapsed="false">
      <c r="A100" s="0" t="n">
        <v>98</v>
      </c>
      <c r="B100" s="54" t="n">
        <f aca="false">IF(C100&lt;=Part2!$G$5,A100,9999)</f>
        <v>98</v>
      </c>
      <c r="C100" s="55" t="n">
        <f aca="false">IF(A100&lt;=(Part2!$C$16/Part2!$D$16),9999,D100/(A100*Part2!$D$16-Part2!$C$16)*60)</f>
        <v>1.2755084941256E-012</v>
      </c>
      <c r="D100" s="56" t="n">
        <f aca="false">IF(A100&lt;=(Part2!$C$16/Part2!$D$16),1,((Part2!$C$16/Part2!$D$16)^A100/FACT(A100)*A100/(A100-(Part2!$C$16/Part2!$D$16)))/(SUMPRODUCT(($L$3:$L$102&lt;A100)*((Part2!$C$16/Part2!$D$16)^$L$3:$L$102/FACT($L$3:$L$102)))+((Part2!$C$16/Part2!$D$16)^A100/FACT(A100)*A100/(A100-(Part2!$C$16/Part2!$D$16)))))</f>
        <v>5.21381443889358E-011</v>
      </c>
      <c r="E100" s="54" t="n">
        <f aca="false">IF(F100&lt;=Part2!$G$7,A100,9999)</f>
        <v>98</v>
      </c>
      <c r="F100" s="55" t="n">
        <f aca="false">IF(A100&lt;=(Part2!$C$17/Part2!$D$17),9999,G100/(A100*Part2!$D$17-Part2!$C$17)*60)</f>
        <v>2.46563348927907E-027</v>
      </c>
      <c r="G100" s="56" t="n">
        <f aca="false">IF(A100&lt;=(Part2!$C$17/Part2!$D$17),1,((Part2!$C$17/Part2!$D$17)^A100/FACT(A100)*A100/(A100-(Part2!$C$17/Part2!$D$17)))/(SUMPRODUCT(($L$3:$L$102&lt;A100)*((Part2!$C$17/Part2!$D$17)^$L$3:$L$102/FACT($L$3:$L$102)))+((Part2!$C$17/Part2!$D$17)^A100/FACT(A100)*A100/(A100-(Part2!$C$17/Part2!$D$17)))))</f>
        <v>5.83157095920171E-026</v>
      </c>
      <c r="H100" s="54" t="n">
        <f aca="false">IF(I100&lt;=Part2!$G$9,A100,9999)</f>
        <v>98</v>
      </c>
      <c r="I100" s="55" t="n">
        <f aca="false">IF(A100&lt;=(Part2!$C$18/Part2!$D$18),9999,J100/(A100*Part2!$D$18-Part2!$C$18)*60)</f>
        <v>9.9851792274864E-053</v>
      </c>
      <c r="J100" s="56" t="n">
        <f aca="false">IF(A100&lt;=(Part2!$C$18/Part2!$D$18),1,((Part2!$C$18/Part2!$D$18)^A100/FACT(A100)*A100/(A100-(Part2!$C$18/Part2!$D$18)))/(SUMPRODUCT(($L$3:$L$102&lt;A100)*((Part2!$C$18/Part2!$D$18)^$L$3:$L$102/FACT($L$3:$L$102)))+((Part2!$C$18/Part2!$D$18)^A100/FACT(A100)*A100/(A100-(Part2!$C$18/Part2!$D$18)))))</f>
        <v>8.47610910565715E-051</v>
      </c>
      <c r="L100" s="0" t="n">
        <v>97</v>
      </c>
    </row>
    <row r="101" customFormat="false" ht="15" hidden="false" customHeight="false" outlineLevel="0" collapsed="false">
      <c r="A101" s="0" t="n">
        <v>99</v>
      </c>
      <c r="B101" s="54" t="n">
        <f aca="false">IF(C101&lt;=Part2!$G$5,A101,9999)</f>
        <v>99</v>
      </c>
      <c r="C101" s="55" t="n">
        <f aca="false">IF(A101&lt;=(Part2!$C$16/Part2!$D$16),9999,D101/(A101*Part2!$D$16-Part2!$C$16)*60)</f>
        <v>5.87269061848426E-013</v>
      </c>
      <c r="D101" s="56" t="n">
        <f aca="false">IF(A101&lt;=(Part2!$C$16/Part2!$D$16),1,((Part2!$C$16/Part2!$D$16)^A101/FACT(A101)*A101/(A101-(Part2!$C$16/Part2!$D$16)))/(SUMPRODUCT(($L$3:$L$102&lt;A101)*((Part2!$C$16/Part2!$D$16)^$L$3:$L$102/FACT($L$3:$L$102)))+((Part2!$C$16/Part2!$D$16)^A101/FACT(A101)*A101/(A101-(Part2!$C$16/Part2!$D$16)))))</f>
        <v>2.44752368384573E-011</v>
      </c>
      <c r="E101" s="54" t="n">
        <f aca="false">IF(F101&lt;=Part2!$G$7,A101,9999)</f>
        <v>99</v>
      </c>
      <c r="F101" s="55" t="n">
        <f aca="false">IF(A101&lt;=(Part2!$C$17/Part2!$D$17),9999,G101/(A101*Part2!$D$17-Part2!$C$17)*60)</f>
        <v>6.61676480519022E-028</v>
      </c>
      <c r="G101" s="56" t="n">
        <f aca="false">IF(A101&lt;=(Part2!$C$17/Part2!$D$17),1,((Part2!$C$17/Part2!$D$17)^A101/FACT(A101)*A101/(A101-(Part2!$C$17/Part2!$D$17)))/(SUMPRODUCT(($L$3:$L$102&lt;A101)*((Part2!$C$17/Part2!$D$17)^$L$3:$L$102/FACT($L$3:$L$102)))+((Part2!$C$17/Part2!$D$17)^A101/FACT(A101)*A101/(A101-(Part2!$C$17/Part2!$D$17)))))</f>
        <v>1.58701408306506E-026</v>
      </c>
      <c r="H101" s="54" t="n">
        <f aca="false">IF(I101&lt;=Part2!$G$9,A101,9999)</f>
        <v>99</v>
      </c>
      <c r="I101" s="55" t="n">
        <f aca="false">IF(A101&lt;=(Part2!$C$18/Part2!$D$18),9999,J101/(A101*Part2!$D$18-Part2!$C$18)*60)</f>
        <v>1.30515669168326E-053</v>
      </c>
      <c r="J101" s="56" t="n">
        <f aca="false">IF(A101&lt;=(Part2!$C$18/Part2!$D$18),1,((Part2!$C$18/Part2!$D$18)^A101/FACT(A101)*A101/(A101-(Part2!$C$18/Part2!$D$18)))/(SUMPRODUCT(($L$3:$L$102&lt;A101)*((Part2!$C$18/Part2!$D$18)^$L$3:$L$102/FACT($L$3:$L$102)))+((Part2!$C$18/Part2!$D$18)^A101/FACT(A101)*A101/(A101-(Part2!$C$18/Part2!$D$18)))))</f>
        <v>1.12095862262931E-051</v>
      </c>
      <c r="L101" s="0" t="n">
        <v>98</v>
      </c>
    </row>
    <row r="102" customFormat="false" ht="15" hidden="false" customHeight="false" outlineLevel="0" collapsed="false">
      <c r="A102" s="0" t="n">
        <v>100</v>
      </c>
      <c r="B102" s="54" t="n">
        <f aca="false">IF(C102&lt;=Part2!$G$5,A102,9999)</f>
        <v>100</v>
      </c>
      <c r="C102" s="55" t="n">
        <f aca="false">IF(A102&lt;=(Part2!$C$16/Part2!$D$16),9999,D102/(A102*Part2!$D$16-Part2!$C$16)*60)</f>
        <v>2.67856307173091E-013</v>
      </c>
      <c r="D102" s="56" t="n">
        <f aca="false">IF(A102&lt;=(Part2!$C$16/Part2!$D$16),1,((Part2!$C$16/Part2!$D$16)^A102/FACT(A102)*A102/(A102-(Part2!$C$16/Part2!$D$16)))/(SUMPRODUCT(($L$3:$L$102&lt;A102)*((Part2!$C$16/Part2!$D$16)^$L$3:$L$102/FACT($L$3:$L$102)))+((Part2!$C$16/Part2!$D$16)^A102/FACT(A102)*A102/(A102-(Part2!$C$16/Part2!$D$16)))))</f>
        <v>1.13775609317548E-011</v>
      </c>
      <c r="E102" s="54" t="n">
        <f aca="false">IF(F102&lt;=Part2!$G$7,A102,9999)</f>
        <v>100</v>
      </c>
      <c r="F102" s="55" t="n">
        <f aca="false">IF(A102&lt;=(Part2!$C$17/Part2!$D$17),9999,G102/(A102*Part2!$D$17-Part2!$C$17)*60)</f>
        <v>1.75841563973937E-028</v>
      </c>
      <c r="G102" s="56" t="n">
        <f aca="false">IF(A102&lt;=(Part2!$C$17/Part2!$D$17),1,((Part2!$C$17/Part2!$D$17)^A102/FACT(A102)*A102/(A102-(Part2!$C$17/Part2!$D$17)))/(SUMPRODUCT(($L$3:$L$102&lt;A102)*((Part2!$C$17/Part2!$D$17)^$L$3:$L$102/FACT($L$3:$L$102)))+((Part2!$C$17/Part2!$D$17)^A102/FACT(A102)*A102/(A102-(Part2!$C$17/Part2!$D$17)))))</f>
        <v>4.27612870717208E-027</v>
      </c>
      <c r="H102" s="54" t="n">
        <f aca="false">IF(I102&lt;=Part2!$G$9,A102,9999)</f>
        <v>100</v>
      </c>
      <c r="I102" s="55" t="n">
        <f aca="false">IF(A102&lt;=(Part2!$C$18/Part2!$D$18),9999,J102/(A102*Part2!$D$18-Part2!$C$18)*60)</f>
        <v>1.68918837192724E-054</v>
      </c>
      <c r="J102" s="56" t="n">
        <f aca="false">IF(A102&lt;=(Part2!$C$18/Part2!$D$18),1,((Part2!$C$18/Part2!$D$18)^A102/FACT(A102)*A102/(A102-(Part2!$C$18/Part2!$D$18)))/(SUMPRODUCT(($L$3:$L$102&lt;A102)*((Part2!$C$18/Part2!$D$18)^$L$3:$L$102/FACT($L$3:$L$102)))+((Part2!$C$18/Part2!$D$18)^A102/FACT(A102)*A102/(A102-(Part2!$C$18/Part2!$D$18)))))</f>
        <v>1.46768341152805E-052</v>
      </c>
      <c r="L102" s="0" t="n">
        <v>99</v>
      </c>
    </row>
    <row r="104" customFormat="false" ht="15" hidden="false" customHeight="false" outlineLevel="0" collapsed="false">
      <c r="A104" s="20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4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7" t="s">
        <v>584</v>
      </c>
    </row>
    <row r="2" customFormat="false" ht="15" hidden="false" customHeight="false" outlineLevel="0" collapsed="false">
      <c r="A2" s="0" t="s">
        <v>585</v>
      </c>
      <c r="B2" s="57" t="n">
        <v>12</v>
      </c>
    </row>
    <row r="3" customFormat="false" ht="15" hidden="false" customHeight="false" outlineLevel="0" collapsed="false">
      <c r="A3" s="0" t="s">
        <v>586</v>
      </c>
      <c r="B3" s="57" t="n">
        <v>1.5</v>
      </c>
    </row>
    <row r="4" customFormat="false" ht="15" hidden="false" customHeight="false" outlineLevel="0" collapsed="false">
      <c r="A4" s="0" t="s">
        <v>587</v>
      </c>
      <c r="B4" s="58" t="n">
        <f aca="false">(Part2!C4*Part2!D4*Part2!B4*Part2!G4+Part2!C6*Part2!D6*Part2!B6*Part2!G6+Part2!C8*Part2!D8*Part2!B8*Part2!G8)*Part2!B12</f>
        <v>3.959808</v>
      </c>
    </row>
    <row r="5" customFormat="false" ht="15" hidden="false" customHeight="false" outlineLevel="0" collapsed="false">
      <c r="A5" s="0" t="s">
        <v>588</v>
      </c>
      <c r="B5" s="59" t="n">
        <f aca="false">B2+B3+B4</f>
        <v>17.459808</v>
      </c>
    </row>
    <row r="7" customFormat="false" ht="15" hidden="false" customHeight="false" outlineLevel="0" collapsed="false">
      <c r="A7" s="7" t="s">
        <v>589</v>
      </c>
    </row>
    <row r="8" customFormat="false" ht="15" hidden="false" customHeight="false" outlineLevel="0" collapsed="false">
      <c r="A8" s="0" t="s">
        <v>590</v>
      </c>
      <c r="B8" s="46" t="n">
        <v>50</v>
      </c>
    </row>
    <row r="9" customFormat="false" ht="15" hidden="false" customHeight="false" outlineLevel="0" collapsed="false">
      <c r="A9" s="0" t="s">
        <v>591</v>
      </c>
      <c r="B9" s="60" t="n">
        <v>22</v>
      </c>
    </row>
    <row r="10" customFormat="false" ht="15" hidden="false" customHeight="false" outlineLevel="0" collapsed="false">
      <c r="A10" s="0" t="s">
        <v>592</v>
      </c>
      <c r="B10" s="61" t="n">
        <f aca="false">Escalator</f>
        <v>0.046</v>
      </c>
    </row>
    <row r="11" customFormat="false" ht="15" hidden="false" customHeight="false" outlineLevel="0" collapsed="false">
      <c r="A11" s="0" t="s">
        <v>593</v>
      </c>
      <c r="B11" s="62" t="n">
        <v>2500</v>
      </c>
    </row>
    <row r="12" customFormat="false" ht="15" hidden="false" customHeight="false" outlineLevel="0" collapsed="false">
      <c r="A12" s="0" t="s">
        <v>594</v>
      </c>
      <c r="B12" s="62" t="n">
        <v>8000</v>
      </c>
    </row>
    <row r="13" customFormat="false" ht="15" hidden="false" customHeight="false" outlineLevel="0" collapsed="false">
      <c r="A13" s="0" t="s">
        <v>595</v>
      </c>
      <c r="B13" s="62" t="n">
        <v>20000</v>
      </c>
    </row>
    <row r="14" customFormat="false" ht="15" hidden="false" customHeight="false" outlineLevel="0" collapsed="false">
      <c r="A14" s="0" t="s">
        <v>596</v>
      </c>
      <c r="B14" s="62" t="n">
        <v>10000</v>
      </c>
    </row>
    <row r="15" customFormat="false" ht="15" hidden="false" customHeight="false" outlineLevel="0" collapsed="false">
      <c r="A15" s="0" t="s">
        <v>597</v>
      </c>
      <c r="B15" s="62" t="n">
        <v>8000</v>
      </c>
    </row>
    <row r="17" customFormat="false" ht="15" hidden="false" customHeight="false" outlineLevel="0" collapsed="false">
      <c r="A17" s="7" t="s">
        <v>598</v>
      </c>
    </row>
    <row r="18" customFormat="false" ht="15" hidden="false" customHeight="false" outlineLevel="0" collapsed="false">
      <c r="A18" s="0" t="s">
        <v>599</v>
      </c>
      <c r="B18" s="19" t="n">
        <f aca="false">Part2!B10</f>
        <v>62100</v>
      </c>
    </row>
    <row r="19" customFormat="false" ht="15" hidden="false" customHeight="false" outlineLevel="0" collapsed="false">
      <c r="A19" s="0" t="s">
        <v>600</v>
      </c>
      <c r="B19" s="19" t="n">
        <f aca="false">B18*SatShare/4</f>
        <v>8538.75</v>
      </c>
    </row>
    <row r="20" customFormat="false" ht="15" hidden="false" customHeight="false" outlineLevel="0" collapsed="false">
      <c r="A20" s="0" t="s">
        <v>601</v>
      </c>
      <c r="B20" s="19" t="n">
        <f aca="false">B18/4</f>
        <v>15525</v>
      </c>
    </row>
    <row r="21" customFormat="false" ht="15" hidden="false" customHeight="false" outlineLevel="0" collapsed="false">
      <c r="A21" s="0" t="s">
        <v>602</v>
      </c>
      <c r="B21" s="19" t="n">
        <f aca="false">B18/80</f>
        <v>776.25</v>
      </c>
    </row>
    <row r="22" customFormat="false" ht="15" hidden="false" customHeight="false" outlineLevel="0" collapsed="false">
      <c r="A22" s="0" t="s">
        <v>603</v>
      </c>
      <c r="B22" s="23" t="n">
        <v>0.07</v>
      </c>
    </row>
    <row r="23" customFormat="false" ht="15" hidden="false" customHeight="false" outlineLevel="0" collapsed="false">
      <c r="A23" s="0" t="s">
        <v>604</v>
      </c>
      <c r="B23" s="23" t="n">
        <v>0.6</v>
      </c>
    </row>
    <row r="24" customFormat="false" ht="15" hidden="false" customHeight="false" outlineLevel="0" collapsed="false">
      <c r="A24" s="0" t="s">
        <v>605</v>
      </c>
      <c r="B24" s="23" t="n">
        <v>0.45</v>
      </c>
    </row>
    <row r="25" customFormat="false" ht="15" hidden="false" customHeight="false" outlineLevel="0" collapsed="false">
      <c r="A25" s="0" t="s">
        <v>606</v>
      </c>
      <c r="B25" s="23" t="n">
        <v>0.35</v>
      </c>
    </row>
    <row r="26" customFormat="false" ht="15" hidden="false" customHeight="false" outlineLevel="0" collapsed="false">
      <c r="A26" s="0" t="s">
        <v>607</v>
      </c>
      <c r="B26" s="23" t="n">
        <v>0.65</v>
      </c>
    </row>
    <row r="27" customFormat="false" ht="15" hidden="false" customHeight="false" outlineLevel="0" collapsed="false">
      <c r="A27" s="0" t="s">
        <v>608</v>
      </c>
      <c r="B27" s="23" t="n">
        <v>0.4</v>
      </c>
    </row>
    <row r="29" customFormat="false" ht="15" hidden="false" customHeight="false" outlineLevel="0" collapsed="false">
      <c r="A29" s="7" t="s">
        <v>609</v>
      </c>
    </row>
    <row r="30" customFormat="false" ht="15" hidden="false" customHeight="false" outlineLevel="0" collapsed="false">
      <c r="A30" s="3" t="s">
        <v>610</v>
      </c>
      <c r="B30" s="3" t="s">
        <v>611</v>
      </c>
      <c r="C30" s="3" t="s">
        <v>612</v>
      </c>
      <c r="D30" s="3" t="s">
        <v>613</v>
      </c>
      <c r="E30" s="3" t="s">
        <v>614</v>
      </c>
      <c r="F30" s="3" t="s">
        <v>615</v>
      </c>
      <c r="G30" s="3" t="s">
        <v>616</v>
      </c>
      <c r="H30" s="3" t="s">
        <v>617</v>
      </c>
      <c r="I30" s="3" t="s">
        <v>618</v>
      </c>
      <c r="J30" s="3" t="s">
        <v>619</v>
      </c>
    </row>
    <row r="31" customFormat="false" ht="15" hidden="false" customHeight="false" outlineLevel="0" collapsed="false">
      <c r="A31" s="45" t="s">
        <v>620</v>
      </c>
      <c r="B31" s="46" t="n">
        <v>16</v>
      </c>
      <c r="C31" s="19" t="n">
        <f aca="false">B18*B22</f>
        <v>4347</v>
      </c>
      <c r="D31" s="19" t="n">
        <f aca="false">C31*(1-B23)</f>
        <v>1738.8</v>
      </c>
      <c r="E31" s="24" t="n">
        <f aca="false">D31/$B$18</f>
        <v>0.028</v>
      </c>
      <c r="F31" s="51" t="n">
        <f aca="false">D31*$B$5</f>
        <v>30359.1141504</v>
      </c>
      <c r="G31" s="51" t="n">
        <f aca="false">B8*B9*(1+B10)*2*8+B11*8</f>
        <v>38409.6</v>
      </c>
      <c r="H31" s="63" t="n">
        <f aca="false">F31-G31</f>
        <v>-8050.48584960001</v>
      </c>
      <c r="I31" s="27" t="n">
        <f aca="false">C31/(B31*$B$21)</f>
        <v>0.35</v>
      </c>
      <c r="J31" s="19" t="n">
        <f aca="false">C31-D31</f>
        <v>2608.2</v>
      </c>
    </row>
    <row r="32" customFormat="false" ht="15" hidden="false" customHeight="false" outlineLevel="0" collapsed="false">
      <c r="A32" s="35" t="s">
        <v>621</v>
      </c>
      <c r="B32" s="46" t="n">
        <v>40</v>
      </c>
      <c r="C32" s="19" t="n">
        <f aca="false">4*B24*B19</f>
        <v>15369.75</v>
      </c>
      <c r="D32" s="19" t="n">
        <f aca="false">C32*(1-B25)</f>
        <v>9990.3375</v>
      </c>
      <c r="E32" s="24" t="n">
        <f aca="false">D32/$B$18</f>
        <v>0.160875</v>
      </c>
      <c r="F32" s="51" t="n">
        <f aca="false">D32*$B$5</f>
        <v>174429.3746052</v>
      </c>
      <c r="G32" s="51" t="n">
        <f aca="false">B8*B9*(1+B10)*11*4+B12*4+B14</f>
        <v>92626.4</v>
      </c>
      <c r="H32" s="64" t="n">
        <f aca="false">F32-G32</f>
        <v>81802.9746052</v>
      </c>
      <c r="I32" s="27" t="n">
        <f aca="false">C32/(B32*$B$21)</f>
        <v>0.495</v>
      </c>
      <c r="J32" s="19" t="n">
        <f aca="false">C32-D32</f>
        <v>5379.4125</v>
      </c>
    </row>
    <row r="33" customFormat="false" ht="15" hidden="false" customHeight="false" outlineLevel="0" collapsed="false">
      <c r="A33" s="45" t="s">
        <v>622</v>
      </c>
      <c r="B33" s="46" t="n">
        <v>20</v>
      </c>
      <c r="C33" s="19" t="n">
        <f aca="false">B26*B20</f>
        <v>10091.25</v>
      </c>
      <c r="D33" s="19" t="n">
        <f aca="false">C33*(1-B27)</f>
        <v>6054.75</v>
      </c>
      <c r="E33" s="24" t="n">
        <f aca="false">D33/$B$18</f>
        <v>0.0975</v>
      </c>
      <c r="F33" s="51" t="n">
        <f aca="false">D33*$B$5</f>
        <v>105714.772488</v>
      </c>
      <c r="G33" s="51" t="n">
        <f aca="false">B8*B9*(1+B10)*11*2+B12*2+B13+B15</f>
        <v>69313.2</v>
      </c>
      <c r="H33" s="63" t="n">
        <f aca="false">F33-G33</f>
        <v>36401.572488</v>
      </c>
      <c r="I33" s="27" t="n">
        <f aca="false">C33/(B33*$B$21)</f>
        <v>0.65</v>
      </c>
      <c r="J33" s="19" t="n">
        <f aca="false">C33-D33</f>
        <v>4036.5</v>
      </c>
    </row>
    <row r="36" customFormat="false" ht="15" hidden="false" customHeight="false" outlineLevel="0" collapsed="false">
      <c r="A36" s="7" t="s">
        <v>623</v>
      </c>
    </row>
    <row r="37" customFormat="false" ht="35.05" hidden="false" customHeight="false" outlineLevel="0" collapsed="false">
      <c r="A37" s="3" t="s">
        <v>610</v>
      </c>
      <c r="B37" s="3" t="s">
        <v>624</v>
      </c>
      <c r="C37" s="3" t="s">
        <v>625</v>
      </c>
      <c r="D37" s="3" t="s">
        <v>626</v>
      </c>
      <c r="E37" s="3" t="s">
        <v>627</v>
      </c>
      <c r="F37" s="3" t="s">
        <v>628</v>
      </c>
    </row>
    <row r="38" customFormat="false" ht="15" hidden="false" customHeight="false" outlineLevel="0" collapsed="false">
      <c r="A38" s="0" t="s">
        <v>629</v>
      </c>
      <c r="B38" s="46" t="n">
        <v>1</v>
      </c>
      <c r="C38" s="46" t="n">
        <v>2</v>
      </c>
      <c r="D38" s="46" t="n">
        <v>4</v>
      </c>
      <c r="E38" s="46" t="n">
        <v>3</v>
      </c>
      <c r="F38" s="32" t="n">
        <f aca="false">0.35*B38+0.3*C38+0.2*D38+0.15*E38</f>
        <v>2.2</v>
      </c>
    </row>
    <row r="39" customFormat="false" ht="15" hidden="false" customHeight="false" outlineLevel="0" collapsed="false">
      <c r="A39" s="0" t="s">
        <v>621</v>
      </c>
      <c r="B39" s="46" t="n">
        <v>5</v>
      </c>
      <c r="C39" s="46" t="n">
        <v>4</v>
      </c>
      <c r="D39" s="46" t="n">
        <v>3</v>
      </c>
      <c r="E39" s="46" t="n">
        <v>3</v>
      </c>
      <c r="F39" s="65" t="n">
        <f aca="false">0.35*B39+0.3*C39+0.2*D39+0.15*E39</f>
        <v>4</v>
      </c>
    </row>
    <row r="40" customFormat="false" ht="15" hidden="false" customHeight="false" outlineLevel="0" collapsed="false">
      <c r="A40" s="0" t="s">
        <v>622</v>
      </c>
      <c r="B40" s="46" t="n">
        <v>3</v>
      </c>
      <c r="C40" s="46" t="n">
        <v>3</v>
      </c>
      <c r="D40" s="46" t="n">
        <v>4</v>
      </c>
      <c r="E40" s="46" t="n">
        <v>2</v>
      </c>
      <c r="F40" s="32" t="n">
        <f aca="false">0.35*B40+0.3*C40+0.2*D40+0.15*E40</f>
        <v>3.05</v>
      </c>
    </row>
    <row r="42" customFormat="false" ht="15" hidden="false" customHeight="false" outlineLevel="0" collapsed="false">
      <c r="A42" s="0" t="s">
        <v>630</v>
      </c>
      <c r="B42" s="19" t="n">
        <f aca="false">(B18+3*1500+Capture!E32)*WkS3*SatShare</f>
        <v>12058.6577798734</v>
      </c>
      <c r="C42" s="9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2026-09-26T05:51:58Z</dcterms:created>
  <dc:creator>openpyxl</dc:creator>
  <dc:description/>
  <dc:language>en-US</dc:language>
  <cp:lastModifiedBy/>
  <dcterms:modified xsi:type="dcterms:W3CDTF">2026-09-25T22:52:00Z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